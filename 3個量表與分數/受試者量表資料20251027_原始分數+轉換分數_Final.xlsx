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GitPs\evm\OriginalData\收案后整理的資料\"/>
    </mc:Choice>
  </mc:AlternateContent>
  <xr:revisionPtr revIDLastSave="0" documentId="8_{809A8F31-0D4E-48C4-82E7-95B2D09E62D1}" xr6:coauthVersionLast="47" xr6:coauthVersionMax="47" xr10:uidLastSave="{00000000-0000-0000-0000-000000000000}"/>
  <bookViews>
    <workbookView xWindow="6795" yWindow="2235" windowWidth="21600" windowHeight="11295" activeTab="2" xr2:uid="{E212FEE3-0280-4C13-95E8-B97BD0989BF8}"/>
  </bookViews>
  <sheets>
    <sheet name="Depression" sheetId="1" r:id="rId1"/>
    <sheet name="PSQI" sheetId="4" r:id="rId2"/>
    <sheet name="TCM-Constitutio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U114" i="3" l="1"/>
  <c r="AU115" i="3"/>
  <c r="AU116" i="3"/>
  <c r="AU117" i="3"/>
  <c r="AU118" i="3"/>
  <c r="AU119" i="3"/>
  <c r="AU120" i="3"/>
  <c r="AU121" i="3"/>
  <c r="AU122" i="3"/>
  <c r="AU123" i="3"/>
  <c r="AU124" i="3"/>
  <c r="AU125" i="3"/>
  <c r="AU126" i="3"/>
  <c r="AU127" i="3"/>
  <c r="AU128" i="3"/>
  <c r="AU129" i="3"/>
  <c r="AU130" i="3"/>
  <c r="AU131" i="3"/>
  <c r="AU132" i="3"/>
  <c r="AU133" i="3"/>
  <c r="AU134" i="3"/>
  <c r="AU135" i="3"/>
  <c r="AU136" i="3"/>
  <c r="AU137" i="3"/>
  <c r="AU138" i="3"/>
  <c r="AU139" i="3"/>
  <c r="AU140" i="3"/>
  <c r="AU141" i="3"/>
  <c r="AU142" i="3"/>
  <c r="AU143" i="3"/>
  <c r="AU144" i="3"/>
  <c r="AU145" i="3"/>
  <c r="AU146" i="3"/>
  <c r="AU147" i="3"/>
  <c r="AU148" i="3"/>
  <c r="AU149" i="3"/>
  <c r="AU150" i="3"/>
  <c r="AU151" i="3"/>
  <c r="AU152" i="3"/>
  <c r="AU153" i="3"/>
  <c r="AU154" i="3"/>
  <c r="AU155" i="3"/>
  <c r="AU156" i="3"/>
  <c r="AU157" i="3"/>
  <c r="AU158" i="3"/>
  <c r="AU159" i="3"/>
  <c r="AU160" i="3"/>
  <c r="AU161" i="3"/>
  <c r="AU162" i="3"/>
  <c r="AU163" i="3"/>
  <c r="AU164" i="3"/>
  <c r="AU165" i="3"/>
  <c r="AU166" i="3"/>
  <c r="AU167" i="3"/>
  <c r="AU168" i="3"/>
  <c r="AU169" i="3"/>
  <c r="AU170" i="3"/>
  <c r="AU171" i="3"/>
  <c r="AU172" i="3"/>
  <c r="AU173" i="3"/>
  <c r="AU174" i="3"/>
  <c r="AU175" i="3"/>
  <c r="AU176" i="3"/>
  <c r="AU177" i="3"/>
  <c r="AU178" i="3"/>
  <c r="AU179" i="3"/>
  <c r="AU180" i="3"/>
  <c r="AU181" i="3"/>
  <c r="AU182" i="3"/>
  <c r="AU183" i="3"/>
  <c r="AU184" i="3"/>
  <c r="AU185" i="3"/>
  <c r="AU186" i="3"/>
  <c r="AU187" i="3"/>
  <c r="AU188" i="3"/>
  <c r="AU189" i="3"/>
  <c r="AU190" i="3"/>
  <c r="AU191" i="3"/>
  <c r="AU192" i="3"/>
  <c r="AU193" i="3"/>
  <c r="AU194" i="3"/>
  <c r="AU195" i="3"/>
  <c r="AU196" i="3"/>
  <c r="AU197" i="3"/>
  <c r="AU198" i="3"/>
  <c r="AU199" i="3"/>
  <c r="AU200" i="3"/>
  <c r="AU201" i="3"/>
  <c r="AU202" i="3"/>
  <c r="AU203" i="3"/>
  <c r="AU204" i="3"/>
  <c r="AU205" i="3"/>
  <c r="AU206" i="3"/>
  <c r="AU207" i="3"/>
  <c r="AU208" i="3"/>
  <c r="AU209" i="3"/>
  <c r="AU210" i="3"/>
  <c r="AU211" i="3"/>
  <c r="AU212" i="3"/>
  <c r="AU213" i="3"/>
  <c r="AU214" i="3"/>
  <c r="AU113" i="3"/>
  <c r="AT114" i="3"/>
  <c r="AT115" i="3"/>
  <c r="AT116" i="3"/>
  <c r="AT117" i="3"/>
  <c r="AT118" i="3"/>
  <c r="AT119" i="3"/>
  <c r="AT120" i="3"/>
  <c r="AT121" i="3"/>
  <c r="AT122" i="3"/>
  <c r="AT123" i="3"/>
  <c r="AT124" i="3"/>
  <c r="AT125" i="3"/>
  <c r="AT126" i="3"/>
  <c r="AT127" i="3"/>
  <c r="AT128" i="3"/>
  <c r="AT129" i="3"/>
  <c r="AT130" i="3"/>
  <c r="AT131" i="3"/>
  <c r="AT132" i="3"/>
  <c r="AT133" i="3"/>
  <c r="AT134" i="3"/>
  <c r="AT135" i="3"/>
  <c r="AT136" i="3"/>
  <c r="AT137" i="3"/>
  <c r="AT138" i="3"/>
  <c r="AT139" i="3"/>
  <c r="AT140" i="3"/>
  <c r="AT141" i="3"/>
  <c r="AT142" i="3"/>
  <c r="AT143" i="3"/>
  <c r="AT144" i="3"/>
  <c r="AT145" i="3"/>
  <c r="AT146" i="3"/>
  <c r="AT147" i="3"/>
  <c r="AT148" i="3"/>
  <c r="AT149" i="3"/>
  <c r="AT150" i="3"/>
  <c r="AT151" i="3"/>
  <c r="AT152" i="3"/>
  <c r="AT153" i="3"/>
  <c r="AT154" i="3"/>
  <c r="AT155" i="3"/>
  <c r="AT156" i="3"/>
  <c r="AT157" i="3"/>
  <c r="AT158" i="3"/>
  <c r="AT159" i="3"/>
  <c r="AT160" i="3"/>
  <c r="AT161" i="3"/>
  <c r="AT162" i="3"/>
  <c r="AT163" i="3"/>
  <c r="AT164" i="3"/>
  <c r="AT165" i="3"/>
  <c r="AT166" i="3"/>
  <c r="AT167" i="3"/>
  <c r="AT168" i="3"/>
  <c r="AT169" i="3"/>
  <c r="AT170" i="3"/>
  <c r="AT171" i="3"/>
  <c r="AT172" i="3"/>
  <c r="AT173" i="3"/>
  <c r="AT174" i="3"/>
  <c r="AT175" i="3"/>
  <c r="AT176" i="3"/>
  <c r="AT177" i="3"/>
  <c r="AT178" i="3"/>
  <c r="AT179" i="3"/>
  <c r="AT180" i="3"/>
  <c r="AT181" i="3"/>
  <c r="AT182" i="3"/>
  <c r="AT183" i="3"/>
  <c r="AT184" i="3"/>
  <c r="AT185" i="3"/>
  <c r="AT186" i="3"/>
  <c r="AT187" i="3"/>
  <c r="AT188" i="3"/>
  <c r="AT189" i="3"/>
  <c r="AT190" i="3"/>
  <c r="AT191" i="3"/>
  <c r="AT192" i="3"/>
  <c r="AT193" i="3"/>
  <c r="AT194" i="3"/>
  <c r="AT195" i="3"/>
  <c r="AT196" i="3"/>
  <c r="AT197" i="3"/>
  <c r="AT198" i="3"/>
  <c r="AT199" i="3"/>
  <c r="AT200" i="3"/>
  <c r="AT201" i="3"/>
  <c r="AT202" i="3"/>
  <c r="AT203" i="3"/>
  <c r="AT204" i="3"/>
  <c r="AT205" i="3"/>
  <c r="AT206" i="3"/>
  <c r="AT207" i="3"/>
  <c r="AT208" i="3"/>
  <c r="AT209" i="3"/>
  <c r="AT210" i="3"/>
  <c r="AT211" i="3"/>
  <c r="AT212" i="3"/>
  <c r="AT213" i="3"/>
  <c r="AT214" i="3"/>
  <c r="AT113" i="3"/>
  <c r="AL124" i="3"/>
  <c r="AL125" i="3"/>
  <c r="AL126" i="3"/>
  <c r="AL127" i="3"/>
  <c r="AL128" i="3"/>
  <c r="AL129" i="3"/>
  <c r="AL140" i="3"/>
  <c r="AL141" i="3"/>
  <c r="AL142" i="3"/>
  <c r="AL143" i="3"/>
  <c r="AL144" i="3"/>
  <c r="AL145" i="3"/>
  <c r="AL156" i="3"/>
  <c r="AL157" i="3"/>
  <c r="AL158" i="3"/>
  <c r="AL159" i="3"/>
  <c r="AL160" i="3"/>
  <c r="AL161" i="3"/>
  <c r="AL172" i="3"/>
  <c r="AL173" i="3"/>
  <c r="AL174" i="3"/>
  <c r="AL175" i="3"/>
  <c r="AL176" i="3"/>
  <c r="AL177" i="3"/>
  <c r="AL188" i="3"/>
  <c r="AL189" i="3"/>
  <c r="AL190" i="3"/>
  <c r="AL191" i="3"/>
  <c r="AL192" i="3"/>
  <c r="AL193" i="3"/>
  <c r="AL204" i="3"/>
  <c r="AL205" i="3"/>
  <c r="AL206" i="3"/>
  <c r="AL207" i="3"/>
  <c r="AL208" i="3"/>
  <c r="AL209" i="3"/>
  <c r="AK114" i="3"/>
  <c r="AL114" i="3"/>
  <c r="AK115" i="3"/>
  <c r="AL115" i="3"/>
  <c r="AK116" i="3"/>
  <c r="AL116" i="3"/>
  <c r="AK117" i="3"/>
  <c r="AL117" i="3"/>
  <c r="AK118" i="3"/>
  <c r="AL118" i="3"/>
  <c r="AK119" i="3"/>
  <c r="AL119" i="3"/>
  <c r="AK120" i="3"/>
  <c r="AL120" i="3"/>
  <c r="AK121" i="3"/>
  <c r="AL121" i="3"/>
  <c r="AK122" i="3"/>
  <c r="AL122" i="3"/>
  <c r="AK123" i="3"/>
  <c r="AL123" i="3"/>
  <c r="AK124" i="3"/>
  <c r="AK125" i="3"/>
  <c r="AK126" i="3"/>
  <c r="AK127" i="3"/>
  <c r="AK128" i="3"/>
  <c r="AK129" i="3"/>
  <c r="AK130" i="3"/>
  <c r="AL130" i="3"/>
  <c r="AK131" i="3"/>
  <c r="AL131" i="3"/>
  <c r="AK132" i="3"/>
  <c r="AL132" i="3"/>
  <c r="AK133" i="3"/>
  <c r="AL133" i="3"/>
  <c r="AK134" i="3"/>
  <c r="AL134" i="3"/>
  <c r="AK135" i="3"/>
  <c r="AL135" i="3"/>
  <c r="AK136" i="3"/>
  <c r="AL136" i="3"/>
  <c r="AK137" i="3"/>
  <c r="AL137" i="3"/>
  <c r="AK138" i="3"/>
  <c r="AL138" i="3"/>
  <c r="AK139" i="3"/>
  <c r="AL139" i="3"/>
  <c r="AK140" i="3"/>
  <c r="AK141" i="3"/>
  <c r="AK142" i="3"/>
  <c r="AK143" i="3"/>
  <c r="AK144" i="3"/>
  <c r="AK145" i="3"/>
  <c r="AK146" i="3"/>
  <c r="AL146" i="3"/>
  <c r="AK147" i="3"/>
  <c r="AL147" i="3"/>
  <c r="AK148" i="3"/>
  <c r="AL148" i="3"/>
  <c r="AK149" i="3"/>
  <c r="AL149" i="3"/>
  <c r="AK150" i="3"/>
  <c r="AL150" i="3"/>
  <c r="AK151" i="3"/>
  <c r="AL151" i="3"/>
  <c r="AK152" i="3"/>
  <c r="AL152" i="3"/>
  <c r="AK153" i="3"/>
  <c r="AL153" i="3"/>
  <c r="AK154" i="3"/>
  <c r="AL154" i="3"/>
  <c r="AK155" i="3"/>
  <c r="AL155" i="3"/>
  <c r="AK156" i="3"/>
  <c r="AK157" i="3"/>
  <c r="AK158" i="3"/>
  <c r="AK159" i="3"/>
  <c r="AK160" i="3"/>
  <c r="AK161" i="3"/>
  <c r="AK162" i="3"/>
  <c r="AL162" i="3"/>
  <c r="AK163" i="3"/>
  <c r="AL163" i="3"/>
  <c r="AK164" i="3"/>
  <c r="AL164" i="3"/>
  <c r="AK165" i="3"/>
  <c r="AL165" i="3"/>
  <c r="AK166" i="3"/>
  <c r="AL166" i="3"/>
  <c r="AK167" i="3"/>
  <c r="AL167" i="3"/>
  <c r="AK168" i="3"/>
  <c r="AL168" i="3"/>
  <c r="AK169" i="3"/>
  <c r="AL169" i="3"/>
  <c r="AK170" i="3"/>
  <c r="AL170" i="3"/>
  <c r="AK171" i="3"/>
  <c r="AL171" i="3"/>
  <c r="AK172" i="3"/>
  <c r="AK173" i="3"/>
  <c r="AK174" i="3"/>
  <c r="AK175" i="3"/>
  <c r="AK176" i="3"/>
  <c r="AK177" i="3"/>
  <c r="AK178" i="3"/>
  <c r="AL178" i="3"/>
  <c r="AK179" i="3"/>
  <c r="AL179" i="3"/>
  <c r="AK180" i="3"/>
  <c r="AL180" i="3"/>
  <c r="AK181" i="3"/>
  <c r="AL181" i="3"/>
  <c r="AK182" i="3"/>
  <c r="AL182" i="3"/>
  <c r="AK183" i="3"/>
  <c r="AL183" i="3"/>
  <c r="AK184" i="3"/>
  <c r="AL184" i="3"/>
  <c r="AK185" i="3"/>
  <c r="AL185" i="3"/>
  <c r="AK186" i="3"/>
  <c r="AL186" i="3"/>
  <c r="AK187" i="3"/>
  <c r="AL187" i="3"/>
  <c r="AK188" i="3"/>
  <c r="AK189" i="3"/>
  <c r="AK190" i="3"/>
  <c r="AK191" i="3"/>
  <c r="AK192" i="3"/>
  <c r="AK193" i="3"/>
  <c r="AK194" i="3"/>
  <c r="AL194" i="3"/>
  <c r="AK195" i="3"/>
  <c r="AL195" i="3"/>
  <c r="AK196" i="3"/>
  <c r="AL196" i="3"/>
  <c r="AK197" i="3"/>
  <c r="AL197" i="3"/>
  <c r="AK198" i="3"/>
  <c r="AL198" i="3"/>
  <c r="AK199" i="3"/>
  <c r="AL199" i="3"/>
  <c r="AK200" i="3"/>
  <c r="AL200" i="3"/>
  <c r="AK201" i="3"/>
  <c r="AL201" i="3"/>
  <c r="AK202" i="3"/>
  <c r="AL202" i="3"/>
  <c r="AK203" i="3"/>
  <c r="AL203" i="3"/>
  <c r="AK204" i="3"/>
  <c r="AK205" i="3"/>
  <c r="AK206" i="3"/>
  <c r="AK207" i="3"/>
  <c r="AK208" i="3"/>
  <c r="AK209" i="3"/>
  <c r="AK210" i="3"/>
  <c r="AL210" i="3"/>
  <c r="AK211" i="3"/>
  <c r="AL211" i="3"/>
  <c r="AK212" i="3"/>
  <c r="AL212" i="3"/>
  <c r="AK213" i="3"/>
  <c r="AL213" i="3"/>
  <c r="AK214" i="3"/>
  <c r="AL214" i="3"/>
  <c r="AK113" i="3"/>
  <c r="AL113" i="3"/>
  <c r="AC114" i="3"/>
  <c r="AC115" i="3"/>
  <c r="AC116" i="3"/>
  <c r="AC117" i="3"/>
  <c r="AC127" i="3"/>
  <c r="AC128" i="3"/>
  <c r="AC129" i="3"/>
  <c r="AC130" i="3"/>
  <c r="AC131" i="3"/>
  <c r="AC132" i="3"/>
  <c r="AC133" i="3"/>
  <c r="AC143" i="3"/>
  <c r="AC144" i="3"/>
  <c r="AC145" i="3"/>
  <c r="AC146" i="3"/>
  <c r="AC147" i="3"/>
  <c r="AC148" i="3"/>
  <c r="AC149" i="3"/>
  <c r="AC159" i="3"/>
  <c r="AC160" i="3"/>
  <c r="AC161" i="3"/>
  <c r="AC162" i="3"/>
  <c r="AC163" i="3"/>
  <c r="AC164" i="3"/>
  <c r="AC165" i="3"/>
  <c r="AC175" i="3"/>
  <c r="AC176" i="3"/>
  <c r="AC177" i="3"/>
  <c r="AC178" i="3"/>
  <c r="AC179" i="3"/>
  <c r="AC180" i="3"/>
  <c r="AC181" i="3"/>
  <c r="AC191" i="3"/>
  <c r="AC192" i="3"/>
  <c r="AC193" i="3"/>
  <c r="AC194" i="3"/>
  <c r="AC195" i="3"/>
  <c r="AC196" i="3"/>
  <c r="AC197" i="3"/>
  <c r="AC207" i="3"/>
  <c r="AC208" i="3"/>
  <c r="AC209" i="3"/>
  <c r="AC210" i="3"/>
  <c r="AC211" i="3"/>
  <c r="AC212" i="3"/>
  <c r="AC213" i="3"/>
  <c r="AC113" i="3"/>
  <c r="AB113" i="3"/>
  <c r="AB114" i="3"/>
  <c r="AB115" i="3"/>
  <c r="AB116" i="3"/>
  <c r="AB117" i="3"/>
  <c r="AB118" i="3"/>
  <c r="AC118" i="3"/>
  <c r="AB119" i="3"/>
  <c r="AC119" i="3"/>
  <c r="AB120" i="3"/>
  <c r="AC120" i="3"/>
  <c r="AB121" i="3"/>
  <c r="AC121" i="3"/>
  <c r="AB122" i="3"/>
  <c r="AC122" i="3"/>
  <c r="AB123" i="3"/>
  <c r="AC123" i="3"/>
  <c r="AB124" i="3"/>
  <c r="AC124" i="3"/>
  <c r="AB125" i="3"/>
  <c r="AC125" i="3"/>
  <c r="AB126" i="3"/>
  <c r="AC126" i="3"/>
  <c r="AB127" i="3"/>
  <c r="AB128" i="3"/>
  <c r="AB129" i="3"/>
  <c r="AB130" i="3"/>
  <c r="AB131" i="3"/>
  <c r="AB132" i="3"/>
  <c r="AB133" i="3"/>
  <c r="AB134" i="3"/>
  <c r="AC134" i="3"/>
  <c r="AB135" i="3"/>
  <c r="AC135" i="3"/>
  <c r="AB136" i="3"/>
  <c r="AC136" i="3"/>
  <c r="AB137" i="3"/>
  <c r="AC137" i="3"/>
  <c r="AB138" i="3"/>
  <c r="AC138" i="3"/>
  <c r="AB139" i="3"/>
  <c r="AC139" i="3"/>
  <c r="AB140" i="3"/>
  <c r="AC140" i="3"/>
  <c r="AB141" i="3"/>
  <c r="AC141" i="3"/>
  <c r="AB142" i="3"/>
  <c r="AC142" i="3"/>
  <c r="AB143" i="3"/>
  <c r="AB144" i="3"/>
  <c r="AB145" i="3"/>
  <c r="AB146" i="3"/>
  <c r="AB147" i="3"/>
  <c r="AB148" i="3"/>
  <c r="AB149" i="3"/>
  <c r="AB150" i="3"/>
  <c r="AC150" i="3"/>
  <c r="AB151" i="3"/>
  <c r="AC151" i="3"/>
  <c r="AB152" i="3"/>
  <c r="AC152" i="3"/>
  <c r="AB153" i="3"/>
  <c r="AC153" i="3"/>
  <c r="AB154" i="3"/>
  <c r="AC154" i="3"/>
  <c r="AB155" i="3"/>
  <c r="AC155" i="3"/>
  <c r="AB156" i="3"/>
  <c r="AC156" i="3"/>
  <c r="AB157" i="3"/>
  <c r="AC157" i="3"/>
  <c r="AB158" i="3"/>
  <c r="AC158" i="3"/>
  <c r="AB159" i="3"/>
  <c r="AB160" i="3"/>
  <c r="AB161" i="3"/>
  <c r="AB162" i="3"/>
  <c r="AB163" i="3"/>
  <c r="AB164" i="3"/>
  <c r="AB165" i="3"/>
  <c r="AB166" i="3"/>
  <c r="AC166" i="3"/>
  <c r="AB167" i="3"/>
  <c r="AC167" i="3"/>
  <c r="AB168" i="3"/>
  <c r="AC168" i="3"/>
  <c r="AB169" i="3"/>
  <c r="AC169" i="3"/>
  <c r="AB170" i="3"/>
  <c r="AC170" i="3"/>
  <c r="AB171" i="3"/>
  <c r="AC171" i="3"/>
  <c r="AB172" i="3"/>
  <c r="AC172" i="3"/>
  <c r="AB173" i="3"/>
  <c r="AC173" i="3"/>
  <c r="AB174" i="3"/>
  <c r="AC174" i="3"/>
  <c r="AB175" i="3"/>
  <c r="AB176" i="3"/>
  <c r="AB177" i="3"/>
  <c r="AB178" i="3"/>
  <c r="AB179" i="3"/>
  <c r="AB180" i="3"/>
  <c r="AB181" i="3"/>
  <c r="AB182" i="3"/>
  <c r="AC182" i="3"/>
  <c r="AB183" i="3"/>
  <c r="AC183" i="3"/>
  <c r="AB184" i="3"/>
  <c r="AC184" i="3"/>
  <c r="AB185" i="3"/>
  <c r="AC185" i="3"/>
  <c r="AB186" i="3"/>
  <c r="AC186" i="3"/>
  <c r="AB187" i="3"/>
  <c r="AC187" i="3"/>
  <c r="AB188" i="3"/>
  <c r="AC188" i="3"/>
  <c r="AB189" i="3"/>
  <c r="AC189" i="3"/>
  <c r="AB190" i="3"/>
  <c r="AC190" i="3"/>
  <c r="AB191" i="3"/>
  <c r="AB192" i="3"/>
  <c r="AB193" i="3"/>
  <c r="AB194" i="3"/>
  <c r="AB195" i="3"/>
  <c r="AB196" i="3"/>
  <c r="AB197" i="3"/>
  <c r="AB198" i="3"/>
  <c r="AC198" i="3"/>
  <c r="AB199" i="3"/>
  <c r="AC199" i="3"/>
  <c r="AB200" i="3"/>
  <c r="AC200" i="3"/>
  <c r="AB201" i="3"/>
  <c r="AC201" i="3"/>
  <c r="AB202" i="3"/>
  <c r="AC202" i="3"/>
  <c r="AB203" i="3"/>
  <c r="AC203" i="3"/>
  <c r="AB204" i="3"/>
  <c r="AC204" i="3"/>
  <c r="AB205" i="3"/>
  <c r="AC205" i="3"/>
  <c r="AB206" i="3"/>
  <c r="AC206" i="3"/>
  <c r="AB207" i="3"/>
  <c r="AB208" i="3"/>
  <c r="AB209" i="3"/>
  <c r="AB210" i="3"/>
  <c r="AB211" i="3"/>
  <c r="AB212" i="3"/>
  <c r="AB213" i="3"/>
  <c r="AB214" i="3"/>
  <c r="AC214" i="3"/>
  <c r="T121" i="3"/>
  <c r="T122" i="3"/>
  <c r="T123" i="3"/>
  <c r="T124" i="3"/>
  <c r="T125" i="3"/>
  <c r="T126" i="3"/>
  <c r="T127" i="3"/>
  <c r="T137" i="3"/>
  <c r="T138" i="3"/>
  <c r="T139" i="3"/>
  <c r="T140" i="3"/>
  <c r="T141" i="3"/>
  <c r="T142" i="3"/>
  <c r="T143" i="3"/>
  <c r="T153" i="3"/>
  <c r="T154" i="3"/>
  <c r="T155" i="3"/>
  <c r="T156" i="3"/>
  <c r="T157" i="3"/>
  <c r="T158" i="3"/>
  <c r="T159" i="3"/>
  <c r="T169" i="3"/>
  <c r="T170" i="3"/>
  <c r="T171" i="3"/>
  <c r="T172" i="3"/>
  <c r="T173" i="3"/>
  <c r="T174" i="3"/>
  <c r="T175" i="3"/>
  <c r="T185" i="3"/>
  <c r="T186" i="3"/>
  <c r="T187" i="3"/>
  <c r="T188" i="3"/>
  <c r="T189" i="3"/>
  <c r="T190" i="3"/>
  <c r="T191" i="3"/>
  <c r="T201" i="3"/>
  <c r="T202" i="3"/>
  <c r="T203" i="3"/>
  <c r="T204" i="3"/>
  <c r="T205" i="3"/>
  <c r="T206" i="3"/>
  <c r="T207" i="3"/>
  <c r="S114" i="3"/>
  <c r="T114" i="3"/>
  <c r="S115" i="3"/>
  <c r="T115" i="3"/>
  <c r="S116" i="3"/>
  <c r="T116" i="3"/>
  <c r="S117" i="3"/>
  <c r="T117" i="3"/>
  <c r="S118" i="3"/>
  <c r="T118" i="3"/>
  <c r="S119" i="3"/>
  <c r="T119" i="3"/>
  <c r="S120" i="3"/>
  <c r="T120" i="3"/>
  <c r="S121" i="3"/>
  <c r="S122" i="3"/>
  <c r="S123" i="3"/>
  <c r="S124" i="3"/>
  <c r="S125" i="3"/>
  <c r="S126" i="3"/>
  <c r="S127" i="3"/>
  <c r="S128" i="3"/>
  <c r="T128" i="3"/>
  <c r="S129" i="3"/>
  <c r="T129" i="3"/>
  <c r="S130" i="3"/>
  <c r="T130" i="3"/>
  <c r="S131" i="3"/>
  <c r="T131" i="3"/>
  <c r="S132" i="3"/>
  <c r="T132" i="3"/>
  <c r="S133" i="3"/>
  <c r="T133" i="3"/>
  <c r="S134" i="3"/>
  <c r="T134" i="3"/>
  <c r="S135" i="3"/>
  <c r="T135" i="3"/>
  <c r="S136" i="3"/>
  <c r="T136" i="3"/>
  <c r="S137" i="3"/>
  <c r="S138" i="3"/>
  <c r="S139" i="3"/>
  <c r="S140" i="3"/>
  <c r="S141" i="3"/>
  <c r="S142" i="3"/>
  <c r="S143" i="3"/>
  <c r="S144" i="3"/>
  <c r="T144" i="3"/>
  <c r="S145" i="3"/>
  <c r="T145" i="3"/>
  <c r="S146" i="3"/>
  <c r="T146" i="3"/>
  <c r="S147" i="3"/>
  <c r="T147" i="3"/>
  <c r="S148" i="3"/>
  <c r="T148" i="3"/>
  <c r="S149" i="3"/>
  <c r="T149" i="3"/>
  <c r="S150" i="3"/>
  <c r="T150" i="3"/>
  <c r="S151" i="3"/>
  <c r="T151" i="3"/>
  <c r="S152" i="3"/>
  <c r="T152" i="3"/>
  <c r="S153" i="3"/>
  <c r="S154" i="3"/>
  <c r="S155" i="3"/>
  <c r="S156" i="3"/>
  <c r="S157" i="3"/>
  <c r="S158" i="3"/>
  <c r="S159" i="3"/>
  <c r="S160" i="3"/>
  <c r="T160" i="3"/>
  <c r="S161" i="3"/>
  <c r="T161" i="3"/>
  <c r="S162" i="3"/>
  <c r="T162" i="3"/>
  <c r="S163" i="3"/>
  <c r="T163" i="3"/>
  <c r="S164" i="3"/>
  <c r="T164" i="3"/>
  <c r="S165" i="3"/>
  <c r="T165" i="3"/>
  <c r="S166" i="3"/>
  <c r="T166" i="3"/>
  <c r="S167" i="3"/>
  <c r="T167" i="3"/>
  <c r="S168" i="3"/>
  <c r="T168" i="3"/>
  <c r="S169" i="3"/>
  <c r="S170" i="3"/>
  <c r="S171" i="3"/>
  <c r="S172" i="3"/>
  <c r="S173" i="3"/>
  <c r="S174" i="3"/>
  <c r="S175" i="3"/>
  <c r="S176" i="3"/>
  <c r="T176" i="3"/>
  <c r="S177" i="3"/>
  <c r="T177" i="3"/>
  <c r="S178" i="3"/>
  <c r="T178" i="3"/>
  <c r="S179" i="3"/>
  <c r="T179" i="3"/>
  <c r="S180" i="3"/>
  <c r="T180" i="3"/>
  <c r="S181" i="3"/>
  <c r="T181" i="3"/>
  <c r="S182" i="3"/>
  <c r="T182" i="3"/>
  <c r="S183" i="3"/>
  <c r="T183" i="3"/>
  <c r="S184" i="3"/>
  <c r="T184" i="3"/>
  <c r="S185" i="3"/>
  <c r="S186" i="3"/>
  <c r="S187" i="3"/>
  <c r="S188" i="3"/>
  <c r="S189" i="3"/>
  <c r="S190" i="3"/>
  <c r="S191" i="3"/>
  <c r="S192" i="3"/>
  <c r="T192" i="3"/>
  <c r="S193" i="3"/>
  <c r="T193" i="3"/>
  <c r="S194" i="3"/>
  <c r="T194" i="3"/>
  <c r="S195" i="3"/>
  <c r="T195" i="3"/>
  <c r="S196" i="3"/>
  <c r="T196" i="3"/>
  <c r="S197" i="3"/>
  <c r="T197" i="3"/>
  <c r="S198" i="3"/>
  <c r="T198" i="3"/>
  <c r="S199" i="3"/>
  <c r="T199" i="3"/>
  <c r="S200" i="3"/>
  <c r="T200" i="3"/>
  <c r="S201" i="3"/>
  <c r="S202" i="3"/>
  <c r="S203" i="3"/>
  <c r="S204" i="3"/>
  <c r="S205" i="3"/>
  <c r="S206" i="3"/>
  <c r="S207" i="3"/>
  <c r="S208" i="3"/>
  <c r="T208" i="3"/>
  <c r="S209" i="3"/>
  <c r="T209" i="3"/>
  <c r="S210" i="3"/>
  <c r="T210" i="3"/>
  <c r="S211" i="3"/>
  <c r="T211" i="3"/>
  <c r="S212" i="3"/>
  <c r="T212" i="3"/>
  <c r="S213" i="3"/>
  <c r="T213" i="3"/>
  <c r="S214" i="3"/>
  <c r="T214" i="3"/>
  <c r="S113" i="3"/>
  <c r="T113" i="3"/>
  <c r="K114" i="3"/>
  <c r="K142" i="3"/>
  <c r="K143" i="3"/>
  <c r="K144" i="3"/>
  <c r="K145" i="3"/>
  <c r="K146" i="3"/>
  <c r="K147" i="3"/>
  <c r="K190" i="3"/>
  <c r="K191" i="3"/>
  <c r="J115" i="3"/>
  <c r="K115" i="3"/>
  <c r="J116" i="3"/>
  <c r="J117" i="3"/>
  <c r="K117" i="3"/>
  <c r="J118" i="3"/>
  <c r="K118" i="3"/>
  <c r="J119" i="3"/>
  <c r="K119" i="3"/>
  <c r="J120" i="3"/>
  <c r="J121" i="3"/>
  <c r="J122" i="3"/>
  <c r="J123" i="3"/>
  <c r="J124" i="3"/>
  <c r="K124" i="3"/>
  <c r="J125" i="3"/>
  <c r="K125" i="3"/>
  <c r="J126" i="3"/>
  <c r="K126" i="3"/>
  <c r="J127" i="3"/>
  <c r="K127" i="3"/>
  <c r="J128" i="3"/>
  <c r="K128" i="3"/>
  <c r="J129" i="3"/>
  <c r="K129" i="3"/>
  <c r="J130" i="3"/>
  <c r="K130" i="3"/>
  <c r="J131" i="3"/>
  <c r="K131" i="3"/>
  <c r="J132" i="3"/>
  <c r="J133" i="3"/>
  <c r="K133" i="3"/>
  <c r="J134" i="3"/>
  <c r="K134" i="3"/>
  <c r="J135" i="3"/>
  <c r="K135" i="3"/>
  <c r="J136" i="3"/>
  <c r="K136" i="3"/>
  <c r="J137" i="3"/>
  <c r="K137" i="3"/>
  <c r="J138" i="3"/>
  <c r="J139" i="3"/>
  <c r="K139" i="3"/>
  <c r="J140" i="3"/>
  <c r="J141" i="3"/>
  <c r="K141" i="3"/>
  <c r="J142" i="3"/>
  <c r="J143" i="3"/>
  <c r="J144" i="3"/>
  <c r="J145" i="3"/>
  <c r="J146" i="3"/>
  <c r="J147" i="3"/>
  <c r="J148" i="3"/>
  <c r="J149" i="3"/>
  <c r="K149" i="3"/>
  <c r="J150" i="3"/>
  <c r="K150" i="3"/>
  <c r="J151" i="3"/>
  <c r="K151" i="3"/>
  <c r="J152" i="3"/>
  <c r="K152" i="3"/>
  <c r="J153" i="3"/>
  <c r="K153" i="3"/>
  <c r="J154" i="3"/>
  <c r="K154" i="3"/>
  <c r="J155" i="3"/>
  <c r="K155" i="3"/>
  <c r="J156" i="3"/>
  <c r="K156" i="3"/>
  <c r="J157" i="3"/>
  <c r="K157" i="3"/>
  <c r="J158" i="3"/>
  <c r="K158" i="3"/>
  <c r="J159" i="3"/>
  <c r="K159" i="3"/>
  <c r="J160" i="3"/>
  <c r="K160" i="3"/>
  <c r="J161" i="3"/>
  <c r="K161" i="3"/>
  <c r="J162" i="3"/>
  <c r="K162" i="3"/>
  <c r="J163" i="3"/>
  <c r="K163" i="3"/>
  <c r="J164" i="3"/>
  <c r="J165" i="3"/>
  <c r="K165" i="3"/>
  <c r="J166" i="3"/>
  <c r="K166" i="3"/>
  <c r="J167" i="3"/>
  <c r="K167" i="3"/>
  <c r="J168" i="3"/>
  <c r="K168" i="3"/>
  <c r="J169" i="3"/>
  <c r="K169" i="3"/>
  <c r="J170" i="3"/>
  <c r="J171" i="3"/>
  <c r="J172" i="3"/>
  <c r="K172" i="3"/>
  <c r="J173" i="3"/>
  <c r="K173" i="3"/>
  <c r="J174" i="3"/>
  <c r="K174" i="3"/>
  <c r="J175" i="3"/>
  <c r="K175" i="3"/>
  <c r="J176" i="3"/>
  <c r="K176" i="3"/>
  <c r="J177" i="3"/>
  <c r="K177" i="3"/>
  <c r="J178" i="3"/>
  <c r="K178" i="3"/>
  <c r="J179" i="3"/>
  <c r="K179" i="3"/>
  <c r="J180" i="3"/>
  <c r="J181" i="3"/>
  <c r="K181" i="3"/>
  <c r="J182" i="3"/>
  <c r="K182" i="3"/>
  <c r="J183" i="3"/>
  <c r="K183" i="3"/>
  <c r="J184" i="3"/>
  <c r="J185" i="3"/>
  <c r="J186" i="3"/>
  <c r="J187" i="3"/>
  <c r="K187" i="3"/>
  <c r="J188" i="3"/>
  <c r="J189" i="3"/>
  <c r="K189" i="3"/>
  <c r="J190" i="3"/>
  <c r="J191" i="3"/>
  <c r="J192" i="3"/>
  <c r="K192" i="3"/>
  <c r="J193" i="3"/>
  <c r="K193" i="3"/>
  <c r="J194" i="3"/>
  <c r="K194" i="3"/>
  <c r="J195" i="3"/>
  <c r="K195" i="3"/>
  <c r="J196" i="3"/>
  <c r="J197" i="3"/>
  <c r="K197" i="3"/>
  <c r="J198" i="3"/>
  <c r="K198" i="3"/>
  <c r="J199" i="3"/>
  <c r="K199" i="3"/>
  <c r="J200" i="3"/>
  <c r="K200" i="3"/>
  <c r="J201" i="3"/>
  <c r="K201" i="3"/>
  <c r="J202" i="3"/>
  <c r="J203" i="3"/>
  <c r="K203" i="3"/>
  <c r="J204" i="3"/>
  <c r="K204" i="3"/>
  <c r="J205" i="3"/>
  <c r="K205" i="3"/>
  <c r="J206" i="3"/>
  <c r="K206" i="3"/>
  <c r="J207" i="3"/>
  <c r="K207" i="3"/>
  <c r="J208" i="3"/>
  <c r="K208" i="3"/>
  <c r="J209" i="3"/>
  <c r="K209" i="3"/>
  <c r="J210" i="3"/>
  <c r="K210" i="3"/>
  <c r="J211" i="3"/>
  <c r="K211" i="3"/>
  <c r="J212" i="3"/>
  <c r="J213" i="3"/>
  <c r="K213" i="3"/>
  <c r="J214" i="3"/>
  <c r="J114" i="3"/>
  <c r="J113" i="3"/>
  <c r="K113" i="3"/>
  <c r="AN7" i="3"/>
  <c r="AN9" i="3"/>
  <c r="AN21" i="3"/>
  <c r="AN22" i="3"/>
  <c r="AN23" i="3"/>
  <c r="AN24" i="3"/>
  <c r="AN25" i="3"/>
  <c r="AN26" i="3"/>
  <c r="AN37" i="3"/>
  <c r="AN39" i="3"/>
  <c r="AN54" i="3"/>
  <c r="AN55" i="3"/>
  <c r="AN56" i="3"/>
  <c r="AN57" i="3"/>
  <c r="AN58" i="3"/>
  <c r="AN69" i="3"/>
  <c r="AN70" i="3"/>
  <c r="AN71" i="3"/>
  <c r="AN73" i="3"/>
  <c r="AN87" i="3"/>
  <c r="AN88" i="3"/>
  <c r="AN89" i="3"/>
  <c r="AN90" i="3"/>
  <c r="AN101" i="3"/>
  <c r="AN102" i="3"/>
  <c r="AN103" i="3"/>
  <c r="AN104" i="3"/>
  <c r="AN105" i="3"/>
  <c r="AM6" i="3"/>
  <c r="AN6" i="3"/>
  <c r="AM7" i="3"/>
  <c r="AM8" i="3"/>
  <c r="AN8" i="3"/>
  <c r="AM9" i="3"/>
  <c r="AM10" i="3"/>
  <c r="AN10" i="3"/>
  <c r="AM11" i="3"/>
  <c r="AN11" i="3"/>
  <c r="AM12" i="3"/>
  <c r="AN12" i="3"/>
  <c r="AM13" i="3"/>
  <c r="AN13" i="3"/>
  <c r="AM14" i="3"/>
  <c r="AN14" i="3"/>
  <c r="AM15" i="3"/>
  <c r="AN15" i="3"/>
  <c r="AM16" i="3"/>
  <c r="AN16" i="3"/>
  <c r="AM17" i="3"/>
  <c r="AN17" i="3"/>
  <c r="AM18" i="3"/>
  <c r="AN18" i="3"/>
  <c r="AM19" i="3"/>
  <c r="AN19" i="3"/>
  <c r="AM20" i="3"/>
  <c r="AN20" i="3"/>
  <c r="AM21" i="3"/>
  <c r="AM22" i="3"/>
  <c r="AM23" i="3"/>
  <c r="AM24" i="3"/>
  <c r="AM25" i="3"/>
  <c r="AM26" i="3"/>
  <c r="AM27" i="3"/>
  <c r="AN27" i="3"/>
  <c r="AM28" i="3"/>
  <c r="AN28" i="3"/>
  <c r="AM29" i="3"/>
  <c r="AN29" i="3"/>
  <c r="AM30" i="3"/>
  <c r="AN30" i="3"/>
  <c r="AM31" i="3"/>
  <c r="AN31" i="3"/>
  <c r="AM32" i="3"/>
  <c r="AN32" i="3"/>
  <c r="AM33" i="3"/>
  <c r="AN33" i="3"/>
  <c r="AM34" i="3"/>
  <c r="AN34" i="3"/>
  <c r="AM35" i="3"/>
  <c r="AN35" i="3"/>
  <c r="AM36" i="3"/>
  <c r="AN36" i="3"/>
  <c r="AM37" i="3"/>
  <c r="AM38" i="3"/>
  <c r="AN38" i="3"/>
  <c r="AM39" i="3"/>
  <c r="AM40" i="3"/>
  <c r="AN40" i="3"/>
  <c r="AM41" i="3"/>
  <c r="AN41" i="3"/>
  <c r="AM42" i="3"/>
  <c r="AN42" i="3"/>
  <c r="AM43" i="3"/>
  <c r="AN43" i="3"/>
  <c r="AM44" i="3"/>
  <c r="AN44" i="3"/>
  <c r="AM45" i="3"/>
  <c r="AN45" i="3"/>
  <c r="AM46" i="3"/>
  <c r="AN46" i="3"/>
  <c r="AM47" i="3"/>
  <c r="AN47" i="3"/>
  <c r="AM48" i="3"/>
  <c r="AN48" i="3"/>
  <c r="AM49" i="3"/>
  <c r="AN49" i="3"/>
  <c r="AM50" i="3"/>
  <c r="AN50" i="3"/>
  <c r="AM51" i="3"/>
  <c r="AN51" i="3"/>
  <c r="AM52" i="3"/>
  <c r="AN52" i="3"/>
  <c r="AM53" i="3"/>
  <c r="AN53" i="3"/>
  <c r="AM54" i="3"/>
  <c r="AM55" i="3"/>
  <c r="AM56" i="3"/>
  <c r="AM57" i="3"/>
  <c r="AM58" i="3"/>
  <c r="AM59" i="3"/>
  <c r="AN59" i="3"/>
  <c r="AM60" i="3"/>
  <c r="AN60" i="3"/>
  <c r="AM61" i="3"/>
  <c r="AN61" i="3"/>
  <c r="AM62" i="3"/>
  <c r="AN62" i="3"/>
  <c r="AM63" i="3"/>
  <c r="AN63" i="3"/>
  <c r="AM64" i="3"/>
  <c r="AN64" i="3"/>
  <c r="AM65" i="3"/>
  <c r="AN65" i="3"/>
  <c r="AM66" i="3"/>
  <c r="AN66" i="3"/>
  <c r="AM67" i="3"/>
  <c r="AN67" i="3"/>
  <c r="AM68" i="3"/>
  <c r="AN68" i="3"/>
  <c r="AM69" i="3"/>
  <c r="AM70" i="3"/>
  <c r="AM71" i="3"/>
  <c r="AM72" i="3"/>
  <c r="AN72" i="3"/>
  <c r="AM73" i="3"/>
  <c r="AM74" i="3"/>
  <c r="AN74" i="3"/>
  <c r="AM75" i="3"/>
  <c r="AN75" i="3"/>
  <c r="AM76" i="3"/>
  <c r="AN76" i="3"/>
  <c r="AM77" i="3"/>
  <c r="AN77" i="3"/>
  <c r="AM78" i="3"/>
  <c r="AN78" i="3"/>
  <c r="AM79" i="3"/>
  <c r="AN79" i="3"/>
  <c r="AM80" i="3"/>
  <c r="AN80" i="3"/>
  <c r="AM81" i="3"/>
  <c r="AN81" i="3"/>
  <c r="AM82" i="3"/>
  <c r="AN82" i="3"/>
  <c r="AM83" i="3"/>
  <c r="AN83" i="3"/>
  <c r="AM84" i="3"/>
  <c r="AN84" i="3"/>
  <c r="AM85" i="3"/>
  <c r="AN85" i="3"/>
  <c r="AM86" i="3"/>
  <c r="AN86" i="3"/>
  <c r="AM87" i="3"/>
  <c r="AM88" i="3"/>
  <c r="AM89" i="3"/>
  <c r="AM90" i="3"/>
  <c r="AM91" i="3"/>
  <c r="AN91" i="3"/>
  <c r="AM92" i="3"/>
  <c r="AN92" i="3"/>
  <c r="AM93" i="3"/>
  <c r="AN93" i="3"/>
  <c r="AM94" i="3"/>
  <c r="AN94" i="3"/>
  <c r="AM95" i="3"/>
  <c r="AN95" i="3"/>
  <c r="AM96" i="3"/>
  <c r="AN96" i="3"/>
  <c r="AM97" i="3"/>
  <c r="AN97" i="3"/>
  <c r="AM98" i="3"/>
  <c r="AN98" i="3"/>
  <c r="AM99" i="3"/>
  <c r="AN99" i="3"/>
  <c r="AM100" i="3"/>
  <c r="AN100" i="3"/>
  <c r="AM101" i="3"/>
  <c r="AM102" i="3"/>
  <c r="AM103" i="3"/>
  <c r="AM104" i="3"/>
  <c r="AM105" i="3"/>
  <c r="AM106" i="3"/>
  <c r="AN106" i="3"/>
  <c r="AM5" i="3"/>
  <c r="AN5" i="3"/>
  <c r="AC6" i="3"/>
  <c r="AD6" i="3"/>
  <c r="AC7" i="3"/>
  <c r="AD7" i="3"/>
  <c r="AC8" i="3"/>
  <c r="AD8" i="3"/>
  <c r="AC9" i="3"/>
  <c r="AD9" i="3"/>
  <c r="AC10" i="3"/>
  <c r="AD10" i="3"/>
  <c r="AC11" i="3"/>
  <c r="AD11" i="3"/>
  <c r="AC12" i="3"/>
  <c r="AD12" i="3"/>
  <c r="AC13" i="3"/>
  <c r="AD13" i="3"/>
  <c r="AC14" i="3"/>
  <c r="AD14" i="3"/>
  <c r="AC15" i="3"/>
  <c r="AD15" i="3"/>
  <c r="AC16" i="3"/>
  <c r="AD16" i="3"/>
  <c r="AC17" i="3"/>
  <c r="AD17" i="3"/>
  <c r="AC18" i="3"/>
  <c r="AD18" i="3"/>
  <c r="AC19" i="3"/>
  <c r="AD19" i="3"/>
  <c r="AC20" i="3"/>
  <c r="AD20" i="3"/>
  <c r="AC21" i="3"/>
  <c r="AD21" i="3"/>
  <c r="AC22" i="3"/>
  <c r="AD22" i="3"/>
  <c r="AC23" i="3"/>
  <c r="AD23" i="3"/>
  <c r="AC24" i="3"/>
  <c r="AD24" i="3"/>
  <c r="AC25" i="3"/>
  <c r="AD25" i="3"/>
  <c r="AC26" i="3"/>
  <c r="AD26" i="3"/>
  <c r="AC27" i="3"/>
  <c r="AD27" i="3"/>
  <c r="AC28" i="3"/>
  <c r="AD28" i="3"/>
  <c r="AC29" i="3"/>
  <c r="AD29" i="3"/>
  <c r="AC30" i="3"/>
  <c r="AD30" i="3"/>
  <c r="AC31" i="3"/>
  <c r="AD31" i="3"/>
  <c r="AC32" i="3"/>
  <c r="AD32" i="3"/>
  <c r="AC33" i="3"/>
  <c r="AD33" i="3"/>
  <c r="AC34" i="3"/>
  <c r="AD34" i="3"/>
  <c r="AC35" i="3"/>
  <c r="AD35" i="3"/>
  <c r="AC36" i="3"/>
  <c r="AD36" i="3"/>
  <c r="AC37" i="3"/>
  <c r="AD37" i="3"/>
  <c r="AC38" i="3"/>
  <c r="AD38" i="3"/>
  <c r="AC39" i="3"/>
  <c r="AD39" i="3"/>
  <c r="AC40" i="3"/>
  <c r="AD40" i="3"/>
  <c r="AC41" i="3"/>
  <c r="AD41" i="3"/>
  <c r="AC42" i="3"/>
  <c r="AD42" i="3"/>
  <c r="AC43" i="3"/>
  <c r="AD43" i="3"/>
  <c r="AC44" i="3"/>
  <c r="AD44" i="3"/>
  <c r="AC45" i="3"/>
  <c r="AD45" i="3"/>
  <c r="AC46" i="3"/>
  <c r="AD46" i="3"/>
  <c r="AC47" i="3"/>
  <c r="AD47" i="3"/>
  <c r="AC48" i="3"/>
  <c r="AD48" i="3"/>
  <c r="AC49" i="3"/>
  <c r="AD49" i="3"/>
  <c r="AC50" i="3"/>
  <c r="AD50" i="3"/>
  <c r="AC51" i="3"/>
  <c r="AD51" i="3"/>
  <c r="AC52" i="3"/>
  <c r="AD52" i="3"/>
  <c r="AC53" i="3"/>
  <c r="AD53" i="3"/>
  <c r="AC54" i="3"/>
  <c r="AD54" i="3"/>
  <c r="AC55" i="3"/>
  <c r="AD55" i="3"/>
  <c r="AC56" i="3"/>
  <c r="AD56" i="3"/>
  <c r="AC57" i="3"/>
  <c r="AD57" i="3"/>
  <c r="AC58" i="3"/>
  <c r="AD58" i="3"/>
  <c r="AC59" i="3"/>
  <c r="AD59" i="3"/>
  <c r="AC60" i="3"/>
  <c r="AD60" i="3"/>
  <c r="AC61" i="3"/>
  <c r="AD61" i="3"/>
  <c r="AC62" i="3"/>
  <c r="AD62" i="3"/>
  <c r="AC63" i="3"/>
  <c r="AD63" i="3"/>
  <c r="AC64" i="3"/>
  <c r="AD64" i="3"/>
  <c r="AC65" i="3"/>
  <c r="AD65" i="3"/>
  <c r="AC66" i="3"/>
  <c r="AD66" i="3"/>
  <c r="AC67" i="3"/>
  <c r="AD67" i="3"/>
  <c r="AC68" i="3"/>
  <c r="AD68" i="3"/>
  <c r="AC69" i="3"/>
  <c r="AD69" i="3"/>
  <c r="AC70" i="3"/>
  <c r="AD70" i="3"/>
  <c r="AC71" i="3"/>
  <c r="AD71" i="3"/>
  <c r="AC72" i="3"/>
  <c r="AD72" i="3"/>
  <c r="AC73" i="3"/>
  <c r="AD73" i="3"/>
  <c r="AC74" i="3"/>
  <c r="AD74" i="3"/>
  <c r="AC75" i="3"/>
  <c r="AD75" i="3"/>
  <c r="AC76" i="3"/>
  <c r="AD76" i="3"/>
  <c r="AC77" i="3"/>
  <c r="AD77" i="3"/>
  <c r="AC78" i="3"/>
  <c r="AD78" i="3"/>
  <c r="AC79" i="3"/>
  <c r="AD79" i="3"/>
  <c r="AC80" i="3"/>
  <c r="AD80" i="3"/>
  <c r="AC81" i="3"/>
  <c r="AD81" i="3"/>
  <c r="AC82" i="3"/>
  <c r="AD82" i="3"/>
  <c r="AC83" i="3"/>
  <c r="AD83" i="3"/>
  <c r="AC84" i="3"/>
  <c r="AD84" i="3"/>
  <c r="AC85" i="3"/>
  <c r="AD85" i="3"/>
  <c r="AC86" i="3"/>
  <c r="AD86" i="3"/>
  <c r="AC87" i="3"/>
  <c r="AD87" i="3"/>
  <c r="AC88" i="3"/>
  <c r="AD88" i="3"/>
  <c r="AC89" i="3"/>
  <c r="AD89" i="3"/>
  <c r="AC90" i="3"/>
  <c r="AD90" i="3"/>
  <c r="AC91" i="3"/>
  <c r="AD91" i="3"/>
  <c r="AC92" i="3"/>
  <c r="AD92" i="3"/>
  <c r="AC93" i="3"/>
  <c r="AD93" i="3"/>
  <c r="AC94" i="3"/>
  <c r="AD94" i="3"/>
  <c r="AC95" i="3"/>
  <c r="AD95" i="3"/>
  <c r="AC96" i="3"/>
  <c r="AD96" i="3"/>
  <c r="AC97" i="3"/>
  <c r="AD97" i="3"/>
  <c r="AC98" i="3"/>
  <c r="AD98" i="3"/>
  <c r="AC99" i="3"/>
  <c r="AD99" i="3"/>
  <c r="AC100" i="3"/>
  <c r="AD100" i="3"/>
  <c r="AC101" i="3"/>
  <c r="AD101" i="3"/>
  <c r="AC102" i="3"/>
  <c r="AD102" i="3"/>
  <c r="AC103" i="3"/>
  <c r="AD103" i="3"/>
  <c r="AC104" i="3"/>
  <c r="AD104" i="3"/>
  <c r="AC105" i="3"/>
  <c r="AD105" i="3"/>
  <c r="AC106" i="3"/>
  <c r="AD106" i="3"/>
  <c r="AC5" i="3"/>
  <c r="AD5" i="3"/>
  <c r="U80" i="3"/>
  <c r="U81" i="3"/>
  <c r="T6" i="3"/>
  <c r="U6" i="3"/>
  <c r="T7" i="3"/>
  <c r="U7" i="3"/>
  <c r="T8" i="3"/>
  <c r="U8" i="3"/>
  <c r="T9" i="3"/>
  <c r="U9" i="3"/>
  <c r="T10" i="3"/>
  <c r="U10" i="3"/>
  <c r="T11" i="3"/>
  <c r="U11" i="3"/>
  <c r="T12" i="3"/>
  <c r="U12" i="3"/>
  <c r="T13" i="3"/>
  <c r="U13" i="3"/>
  <c r="T14" i="3"/>
  <c r="U14" i="3"/>
  <c r="T15" i="3"/>
  <c r="U15" i="3"/>
  <c r="T16" i="3"/>
  <c r="U16" i="3"/>
  <c r="T17" i="3"/>
  <c r="U17" i="3"/>
  <c r="T18" i="3"/>
  <c r="U18" i="3"/>
  <c r="T19" i="3"/>
  <c r="U19" i="3"/>
  <c r="T20" i="3"/>
  <c r="U20" i="3"/>
  <c r="T21" i="3"/>
  <c r="U21" i="3"/>
  <c r="T22" i="3"/>
  <c r="U22" i="3"/>
  <c r="T23" i="3"/>
  <c r="U23" i="3"/>
  <c r="T24" i="3"/>
  <c r="U24" i="3"/>
  <c r="T25" i="3"/>
  <c r="U25" i="3"/>
  <c r="T26" i="3"/>
  <c r="U26" i="3"/>
  <c r="T27" i="3"/>
  <c r="U27" i="3"/>
  <c r="T28" i="3"/>
  <c r="U28" i="3"/>
  <c r="T29" i="3"/>
  <c r="U29" i="3"/>
  <c r="T30" i="3"/>
  <c r="U30" i="3"/>
  <c r="T31" i="3"/>
  <c r="U31" i="3"/>
  <c r="T32" i="3"/>
  <c r="U32" i="3"/>
  <c r="T33" i="3"/>
  <c r="U33" i="3"/>
  <c r="T34" i="3"/>
  <c r="U34" i="3"/>
  <c r="T35" i="3"/>
  <c r="U35" i="3"/>
  <c r="T36" i="3"/>
  <c r="U36" i="3"/>
  <c r="T37" i="3"/>
  <c r="U37" i="3"/>
  <c r="T38" i="3"/>
  <c r="U38" i="3"/>
  <c r="T39" i="3"/>
  <c r="U39" i="3"/>
  <c r="T40" i="3"/>
  <c r="U40" i="3"/>
  <c r="T41" i="3"/>
  <c r="U41" i="3"/>
  <c r="T42" i="3"/>
  <c r="U42" i="3"/>
  <c r="T43" i="3"/>
  <c r="U43" i="3"/>
  <c r="T44" i="3"/>
  <c r="U44" i="3"/>
  <c r="T45" i="3"/>
  <c r="U45" i="3"/>
  <c r="T46" i="3"/>
  <c r="U46" i="3"/>
  <c r="T47" i="3"/>
  <c r="U47" i="3"/>
  <c r="T48" i="3"/>
  <c r="U48" i="3"/>
  <c r="T49" i="3"/>
  <c r="U49" i="3"/>
  <c r="T50" i="3"/>
  <c r="U50" i="3"/>
  <c r="T51" i="3"/>
  <c r="U51" i="3"/>
  <c r="T52" i="3"/>
  <c r="U52" i="3"/>
  <c r="T53" i="3"/>
  <c r="U53" i="3"/>
  <c r="T54" i="3"/>
  <c r="U54" i="3"/>
  <c r="T55" i="3"/>
  <c r="U55" i="3"/>
  <c r="T56" i="3"/>
  <c r="U56" i="3"/>
  <c r="T57" i="3"/>
  <c r="U57" i="3"/>
  <c r="T58" i="3"/>
  <c r="U58" i="3"/>
  <c r="T59" i="3"/>
  <c r="U59" i="3"/>
  <c r="T60" i="3"/>
  <c r="U60" i="3"/>
  <c r="T61" i="3"/>
  <c r="U61" i="3"/>
  <c r="T62" i="3"/>
  <c r="U62" i="3"/>
  <c r="T63" i="3"/>
  <c r="U63" i="3"/>
  <c r="T64" i="3"/>
  <c r="U64" i="3"/>
  <c r="T65" i="3"/>
  <c r="U65" i="3"/>
  <c r="T66" i="3"/>
  <c r="U66" i="3"/>
  <c r="T67" i="3"/>
  <c r="U67" i="3"/>
  <c r="T68" i="3"/>
  <c r="U68" i="3"/>
  <c r="T69" i="3"/>
  <c r="U69" i="3"/>
  <c r="T70" i="3"/>
  <c r="U70" i="3"/>
  <c r="T71" i="3"/>
  <c r="U71" i="3"/>
  <c r="T72" i="3"/>
  <c r="U72" i="3"/>
  <c r="T73" i="3"/>
  <c r="U73" i="3"/>
  <c r="T74" i="3"/>
  <c r="U74" i="3"/>
  <c r="T75" i="3"/>
  <c r="U75" i="3"/>
  <c r="T76" i="3"/>
  <c r="U76" i="3"/>
  <c r="T77" i="3"/>
  <c r="U77" i="3"/>
  <c r="T78" i="3"/>
  <c r="U78" i="3"/>
  <c r="T79" i="3"/>
  <c r="U79" i="3"/>
  <c r="T80" i="3"/>
  <c r="T81" i="3"/>
  <c r="T82" i="3"/>
  <c r="U82" i="3"/>
  <c r="T83" i="3"/>
  <c r="U83" i="3"/>
  <c r="T84" i="3"/>
  <c r="U84" i="3"/>
  <c r="T85" i="3"/>
  <c r="U85" i="3"/>
  <c r="T86" i="3"/>
  <c r="U86" i="3"/>
  <c r="T87" i="3"/>
  <c r="U87" i="3"/>
  <c r="T88" i="3"/>
  <c r="U88" i="3"/>
  <c r="T89" i="3"/>
  <c r="U89" i="3"/>
  <c r="T90" i="3"/>
  <c r="U90" i="3"/>
  <c r="T91" i="3"/>
  <c r="U91" i="3"/>
  <c r="T92" i="3"/>
  <c r="U92" i="3"/>
  <c r="T93" i="3"/>
  <c r="U93" i="3"/>
  <c r="T94" i="3"/>
  <c r="U94" i="3"/>
  <c r="T95" i="3"/>
  <c r="U95" i="3"/>
  <c r="T96" i="3"/>
  <c r="U96" i="3"/>
  <c r="T97" i="3"/>
  <c r="U97" i="3"/>
  <c r="T98" i="3"/>
  <c r="U98" i="3"/>
  <c r="T99" i="3"/>
  <c r="U99" i="3"/>
  <c r="T100" i="3"/>
  <c r="U100" i="3"/>
  <c r="T101" i="3"/>
  <c r="U101" i="3"/>
  <c r="T102" i="3"/>
  <c r="U102" i="3"/>
  <c r="T103" i="3"/>
  <c r="U103" i="3"/>
  <c r="T104" i="3"/>
  <c r="U104" i="3"/>
  <c r="T105" i="3"/>
  <c r="U105" i="3"/>
  <c r="T106" i="3"/>
  <c r="U106" i="3"/>
  <c r="T5" i="3"/>
  <c r="U5" i="3"/>
  <c r="J6" i="3"/>
  <c r="K6" i="3"/>
  <c r="J7" i="3"/>
  <c r="K7" i="3"/>
  <c r="J8" i="3"/>
  <c r="K8" i="3"/>
  <c r="J9" i="3"/>
  <c r="J10" i="3"/>
  <c r="J11" i="3"/>
  <c r="J12" i="3"/>
  <c r="J13" i="3"/>
  <c r="J14" i="3"/>
  <c r="J15" i="3"/>
  <c r="K15" i="3"/>
  <c r="J16" i="3"/>
  <c r="K16" i="3"/>
  <c r="J17" i="3"/>
  <c r="K17" i="3"/>
  <c r="J18" i="3"/>
  <c r="K18" i="3"/>
  <c r="J19" i="3"/>
  <c r="K19" i="3"/>
  <c r="J20" i="3"/>
  <c r="K20" i="3"/>
  <c r="J21" i="3"/>
  <c r="K21" i="3"/>
  <c r="J22" i="3"/>
  <c r="K22" i="3"/>
  <c r="J23" i="3"/>
  <c r="K23" i="3"/>
  <c r="J24" i="3"/>
  <c r="K24" i="3"/>
  <c r="J25" i="3"/>
  <c r="K25" i="3"/>
  <c r="J26" i="3"/>
  <c r="K26" i="3"/>
  <c r="J27" i="3"/>
  <c r="K27" i="3"/>
  <c r="J28" i="3"/>
  <c r="J29" i="3"/>
  <c r="J30" i="3"/>
  <c r="J31" i="3"/>
  <c r="K31" i="3"/>
  <c r="J32" i="3"/>
  <c r="J33" i="3"/>
  <c r="J34" i="3"/>
  <c r="K34" i="3"/>
  <c r="J35" i="3"/>
  <c r="K35" i="3"/>
  <c r="J36" i="3"/>
  <c r="K36" i="3"/>
  <c r="J37" i="3"/>
  <c r="K37" i="3"/>
  <c r="J38" i="3"/>
  <c r="K38" i="3"/>
  <c r="J39" i="3"/>
  <c r="K39" i="3"/>
  <c r="J40" i="3"/>
  <c r="K40" i="3"/>
  <c r="J41" i="3"/>
  <c r="K41" i="3"/>
  <c r="J42" i="3"/>
  <c r="K42" i="3"/>
  <c r="J43" i="3"/>
  <c r="J44" i="3"/>
  <c r="J45" i="3"/>
  <c r="K45" i="3"/>
  <c r="J46" i="3"/>
  <c r="K46" i="3"/>
  <c r="J47" i="3"/>
  <c r="K47" i="3"/>
  <c r="J48" i="3"/>
  <c r="K48" i="3"/>
  <c r="J49" i="3"/>
  <c r="K49" i="3"/>
  <c r="J50" i="3"/>
  <c r="K50" i="3"/>
  <c r="J51" i="3"/>
  <c r="K51" i="3"/>
  <c r="J52" i="3"/>
  <c r="K52" i="3"/>
  <c r="J53" i="3"/>
  <c r="K53" i="3"/>
  <c r="J54" i="3"/>
  <c r="K54" i="3"/>
  <c r="J55" i="3"/>
  <c r="K55" i="3"/>
  <c r="J56" i="3"/>
  <c r="K56" i="3"/>
  <c r="J57" i="3"/>
  <c r="K57" i="3"/>
  <c r="J58" i="3"/>
  <c r="J59" i="3"/>
  <c r="J60" i="3"/>
  <c r="K60" i="3"/>
  <c r="J61" i="3"/>
  <c r="J62" i="3"/>
  <c r="J63" i="3"/>
  <c r="K63" i="3"/>
  <c r="J64" i="3"/>
  <c r="K64" i="3"/>
  <c r="J65" i="3"/>
  <c r="K65" i="3"/>
  <c r="J66" i="3"/>
  <c r="K66" i="3"/>
  <c r="J67" i="3"/>
  <c r="K67" i="3"/>
  <c r="J68" i="3"/>
  <c r="K68" i="3"/>
  <c r="J69" i="3"/>
  <c r="K69" i="3"/>
  <c r="J70" i="3"/>
  <c r="K70" i="3"/>
  <c r="J71" i="3"/>
  <c r="K71" i="3"/>
  <c r="J72" i="3"/>
  <c r="K72" i="3"/>
  <c r="J73" i="3"/>
  <c r="J74" i="3"/>
  <c r="K74" i="3"/>
  <c r="J75" i="3"/>
  <c r="K75" i="3"/>
  <c r="J76" i="3"/>
  <c r="J77" i="3"/>
  <c r="K77" i="3"/>
  <c r="J78" i="3"/>
  <c r="K78" i="3"/>
  <c r="J79" i="3"/>
  <c r="J80" i="3"/>
  <c r="K80" i="3"/>
  <c r="J81" i="3"/>
  <c r="K81" i="3"/>
  <c r="J82" i="3"/>
  <c r="K82" i="3"/>
  <c r="J83" i="3"/>
  <c r="K83" i="3"/>
  <c r="J84" i="3"/>
  <c r="K84" i="3"/>
  <c r="J85" i="3"/>
  <c r="K85" i="3"/>
  <c r="J86" i="3"/>
  <c r="K86" i="3"/>
  <c r="J87" i="3"/>
  <c r="K87" i="3"/>
  <c r="J88" i="3"/>
  <c r="J89" i="3"/>
  <c r="K89" i="3"/>
  <c r="J90" i="3"/>
  <c r="J91" i="3"/>
  <c r="J92" i="3"/>
  <c r="K92" i="3"/>
  <c r="J93" i="3"/>
  <c r="J94" i="3"/>
  <c r="J95" i="3"/>
  <c r="K95" i="3"/>
  <c r="J96" i="3"/>
  <c r="K96" i="3"/>
  <c r="J97" i="3"/>
  <c r="K97" i="3"/>
  <c r="J98" i="3"/>
  <c r="K98" i="3"/>
  <c r="J99" i="3"/>
  <c r="K99" i="3"/>
  <c r="J100" i="3"/>
  <c r="K100" i="3"/>
  <c r="J101" i="3"/>
  <c r="K101" i="3"/>
  <c r="J102" i="3"/>
  <c r="K102" i="3"/>
  <c r="J103" i="3"/>
  <c r="K103" i="3"/>
  <c r="J104" i="3"/>
  <c r="K104" i="3"/>
  <c r="J105" i="3"/>
  <c r="K105" i="3"/>
  <c r="J106" i="3"/>
  <c r="K106" i="3"/>
  <c r="J5" i="3"/>
  <c r="K5" i="3"/>
  <c r="AE106" i="4"/>
  <c r="AF106" i="4"/>
  <c r="AE105" i="4"/>
  <c r="AF105" i="4"/>
  <c r="AE104" i="4"/>
  <c r="AF104" i="4"/>
  <c r="AE103" i="4"/>
  <c r="AF103" i="4"/>
  <c r="AE102" i="4"/>
  <c r="AF102" i="4"/>
  <c r="AE101" i="4"/>
  <c r="AF101" i="4"/>
  <c r="AE100" i="4"/>
  <c r="AF100" i="4"/>
  <c r="AE99" i="4"/>
  <c r="AF99" i="4"/>
  <c r="AE98" i="4"/>
  <c r="AF98" i="4"/>
  <c r="AE97" i="4"/>
  <c r="AF97" i="4"/>
  <c r="AE96" i="4"/>
  <c r="AF96" i="4"/>
  <c r="AE95" i="4"/>
  <c r="AF95" i="4"/>
  <c r="AE94" i="4"/>
  <c r="AF94" i="4"/>
  <c r="AE93" i="4"/>
  <c r="AF93" i="4"/>
  <c r="AE92" i="4"/>
  <c r="AF92" i="4"/>
  <c r="AE91" i="4"/>
  <c r="AF91" i="4"/>
  <c r="AE90" i="4"/>
  <c r="AF90" i="4"/>
  <c r="AE89" i="4"/>
  <c r="AF89" i="4"/>
  <c r="AE88" i="4"/>
  <c r="AF88" i="4"/>
  <c r="AE87" i="4"/>
  <c r="AF87" i="4"/>
  <c r="AE86" i="4"/>
  <c r="AF86" i="4"/>
  <c r="AE85" i="4"/>
  <c r="AF85" i="4"/>
  <c r="AE84" i="4"/>
  <c r="AF84" i="4"/>
  <c r="AE83" i="4"/>
  <c r="AF83" i="4"/>
  <c r="AE82" i="4"/>
  <c r="AF82" i="4"/>
  <c r="AE81" i="4"/>
  <c r="AF81" i="4"/>
  <c r="AE80" i="4"/>
  <c r="AF80" i="4"/>
  <c r="AE79" i="4"/>
  <c r="AF79" i="4"/>
  <c r="AE78" i="4"/>
  <c r="AF78" i="4"/>
  <c r="AE77" i="4"/>
  <c r="AF77" i="4"/>
  <c r="AE76" i="4"/>
  <c r="AF76" i="4"/>
  <c r="AE75" i="4"/>
  <c r="AF75" i="4"/>
  <c r="AE74" i="4"/>
  <c r="AF74" i="4"/>
  <c r="AE73" i="4"/>
  <c r="AF73" i="4"/>
  <c r="AD106" i="4"/>
  <c r="AB106" i="4"/>
  <c r="AA106" i="4"/>
  <c r="AD105" i="4"/>
  <c r="AB105" i="4"/>
  <c r="AA105" i="4"/>
  <c r="AD104" i="4"/>
  <c r="AB104" i="4"/>
  <c r="AA104" i="4"/>
  <c r="AD103" i="4"/>
  <c r="AB103" i="4"/>
  <c r="AA103" i="4"/>
  <c r="AD102" i="4"/>
  <c r="AB102" i="4"/>
  <c r="AA102" i="4"/>
  <c r="AD101" i="4"/>
  <c r="AB101" i="4"/>
  <c r="AA101" i="4"/>
  <c r="AD100" i="4"/>
  <c r="AB100" i="4"/>
  <c r="AA100" i="4"/>
  <c r="AD99" i="4"/>
  <c r="AB99" i="4"/>
  <c r="AA99" i="4"/>
  <c r="AD98" i="4"/>
  <c r="AB98" i="4"/>
  <c r="AA98" i="4"/>
  <c r="AD97" i="4"/>
  <c r="AB97" i="4"/>
  <c r="AA97" i="4"/>
  <c r="AD96" i="4"/>
  <c r="AB96" i="4"/>
  <c r="AA96" i="4"/>
  <c r="AD95" i="4"/>
  <c r="AB95" i="4"/>
  <c r="AA95" i="4"/>
  <c r="AD94" i="4"/>
  <c r="AB94" i="4"/>
  <c r="AA94" i="4"/>
  <c r="AD93" i="4"/>
  <c r="AB93" i="4"/>
  <c r="AA93" i="4"/>
  <c r="AD92" i="4"/>
  <c r="AB92" i="4"/>
  <c r="AA92" i="4"/>
  <c r="AD91" i="4"/>
  <c r="AB91" i="4"/>
  <c r="AA91" i="4"/>
  <c r="AD90" i="4"/>
  <c r="AB90" i="4"/>
  <c r="AA90" i="4"/>
  <c r="AD89" i="4"/>
  <c r="AB89" i="4"/>
  <c r="AA89" i="4"/>
  <c r="AD88" i="4"/>
  <c r="AB88" i="4"/>
  <c r="AA88" i="4"/>
  <c r="AD87" i="4"/>
  <c r="AB87" i="4"/>
  <c r="AA87" i="4"/>
  <c r="AD86" i="4"/>
  <c r="AB86" i="4"/>
  <c r="AA86" i="4"/>
  <c r="AD85" i="4"/>
  <c r="AB85" i="4"/>
  <c r="AA85" i="4"/>
  <c r="AD84" i="4"/>
  <c r="AB84" i="4"/>
  <c r="AA84" i="4"/>
  <c r="AD83" i="4"/>
  <c r="AB83" i="4"/>
  <c r="AA83" i="4"/>
  <c r="AD82" i="4"/>
  <c r="AB82" i="4"/>
  <c r="AA82" i="4"/>
  <c r="AD81" i="4"/>
  <c r="AB81" i="4"/>
  <c r="AA81" i="4"/>
  <c r="AD80" i="4"/>
  <c r="AB80" i="4"/>
  <c r="AA80" i="4"/>
  <c r="AD79" i="4"/>
  <c r="AB79" i="4"/>
  <c r="AA79" i="4"/>
  <c r="AD78" i="4"/>
  <c r="AB78" i="4"/>
  <c r="AA78" i="4"/>
  <c r="AD77" i="4"/>
  <c r="AB77" i="4"/>
  <c r="AA77" i="4"/>
  <c r="AD76" i="4"/>
  <c r="AB76" i="4"/>
  <c r="AA76" i="4"/>
  <c r="AD75" i="4"/>
  <c r="AB75" i="4"/>
  <c r="AA75" i="4"/>
  <c r="AD74" i="4"/>
  <c r="AB74" i="4"/>
  <c r="AA74" i="4"/>
  <c r="AD73" i="4"/>
  <c r="AB73" i="4"/>
  <c r="AA73" i="4"/>
  <c r="W106" i="1"/>
  <c r="X106" i="1"/>
  <c r="W105" i="1"/>
  <c r="X105" i="1"/>
  <c r="W104" i="1"/>
  <c r="X104" i="1"/>
  <c r="X103" i="1"/>
  <c r="W103" i="1"/>
  <c r="W102" i="1"/>
  <c r="X102" i="1"/>
  <c r="X101" i="1"/>
  <c r="W101" i="1"/>
  <c r="X100" i="1"/>
  <c r="W100" i="1"/>
  <c r="X99" i="1"/>
  <c r="W99" i="1"/>
  <c r="W98" i="1"/>
  <c r="X98" i="1"/>
  <c r="W97" i="1"/>
  <c r="X97" i="1"/>
  <c r="W96" i="1"/>
  <c r="X96" i="1"/>
  <c r="X95" i="1"/>
  <c r="W95" i="1"/>
  <c r="W94" i="1"/>
  <c r="X94" i="1"/>
  <c r="X93" i="1"/>
  <c r="W93" i="1"/>
  <c r="X92" i="1"/>
  <c r="W92" i="1"/>
  <c r="X91" i="1"/>
  <c r="W91" i="1"/>
  <c r="W90" i="1"/>
  <c r="X90" i="1"/>
  <c r="W89" i="1"/>
  <c r="X89" i="1"/>
  <c r="W88" i="1"/>
  <c r="X88" i="1"/>
  <c r="X87" i="1"/>
  <c r="W87" i="1"/>
  <c r="W86" i="1"/>
  <c r="X86" i="1"/>
  <c r="X85" i="1"/>
  <c r="W85" i="1"/>
  <c r="X84" i="1"/>
  <c r="W84" i="1"/>
  <c r="X83" i="1"/>
  <c r="W83" i="1"/>
  <c r="W82" i="1"/>
  <c r="X82" i="1"/>
  <c r="W81" i="1"/>
  <c r="X81" i="1"/>
  <c r="W80" i="1"/>
  <c r="X80" i="1"/>
  <c r="X79" i="1"/>
  <c r="W79" i="1"/>
  <c r="W78" i="1"/>
  <c r="X78" i="1"/>
  <c r="X77" i="1"/>
  <c r="W77" i="1"/>
  <c r="X76" i="1"/>
  <c r="W76" i="1"/>
  <c r="X75" i="1"/>
  <c r="W75" i="1"/>
  <c r="W74" i="1"/>
  <c r="X74" i="1"/>
  <c r="W73" i="1"/>
  <c r="X73" i="1"/>
  <c r="AF6" i="4"/>
  <c r="AF7" i="4"/>
  <c r="AF8" i="4"/>
  <c r="AF9" i="4"/>
  <c r="AF10" i="4"/>
  <c r="AF11" i="4"/>
  <c r="AF12" i="4"/>
  <c r="AF13" i="4"/>
  <c r="AF14" i="4"/>
  <c r="AF15" i="4"/>
  <c r="AF16" i="4"/>
  <c r="AF17" i="4"/>
  <c r="AF18" i="4"/>
  <c r="AF19" i="4"/>
  <c r="AF20" i="4"/>
  <c r="AF21" i="4"/>
  <c r="AF22" i="4"/>
  <c r="AF23" i="4"/>
  <c r="AF24" i="4"/>
  <c r="AF25" i="4"/>
  <c r="AF26" i="4"/>
  <c r="AF27" i="4"/>
  <c r="AF28" i="4"/>
  <c r="AF29" i="4"/>
  <c r="AF30" i="4"/>
  <c r="AF31" i="4"/>
  <c r="AF32" i="4"/>
  <c r="AF33" i="4"/>
  <c r="AF34" i="4"/>
  <c r="AF35" i="4"/>
  <c r="AF36" i="4"/>
  <c r="AF37" i="4"/>
  <c r="AF38" i="4"/>
  <c r="AF39" i="4"/>
  <c r="AF40" i="4"/>
  <c r="AF41" i="4"/>
  <c r="AF42" i="4"/>
  <c r="AF43" i="4"/>
  <c r="AF44" i="4"/>
  <c r="AF45" i="4"/>
  <c r="AF46" i="4"/>
  <c r="AF47" i="4"/>
  <c r="AF48" i="4"/>
  <c r="AF49" i="4"/>
  <c r="AF50" i="4"/>
  <c r="AF51" i="4"/>
  <c r="AF52" i="4"/>
  <c r="AF53" i="4"/>
  <c r="AF54" i="4"/>
  <c r="AF55" i="4"/>
  <c r="AF56" i="4"/>
  <c r="AF57" i="4"/>
  <c r="AF58" i="4"/>
  <c r="AF59" i="4"/>
  <c r="AF60" i="4"/>
  <c r="AF61" i="4"/>
  <c r="AF62" i="4"/>
  <c r="AF63" i="4"/>
  <c r="AF64" i="4"/>
  <c r="AF65" i="4"/>
  <c r="AF66" i="4"/>
  <c r="AF67" i="4"/>
  <c r="AF68" i="4"/>
  <c r="AF69" i="4"/>
  <c r="AF70" i="4"/>
  <c r="AF71" i="4"/>
  <c r="AF72" i="4"/>
  <c r="AF5" i="4"/>
  <c r="AB5" i="4"/>
  <c r="AE6" i="4"/>
  <c r="AE7" i="4"/>
  <c r="AE8" i="4"/>
  <c r="AE9" i="4"/>
  <c r="AE10" i="4"/>
  <c r="AE11" i="4"/>
  <c r="AE12" i="4"/>
  <c r="AE13" i="4"/>
  <c r="AE14" i="4"/>
  <c r="AE15" i="4"/>
  <c r="AE16" i="4"/>
  <c r="AE17" i="4"/>
  <c r="AE18" i="4"/>
  <c r="AE19" i="4"/>
  <c r="AE20" i="4"/>
  <c r="AE21" i="4"/>
  <c r="AE22" i="4"/>
  <c r="AE23" i="4"/>
  <c r="AE24" i="4"/>
  <c r="AE25" i="4"/>
  <c r="AE26" i="4"/>
  <c r="AE27" i="4"/>
  <c r="AE28" i="4"/>
  <c r="AE29" i="4"/>
  <c r="AE30" i="4"/>
  <c r="AE31" i="4"/>
  <c r="AE32" i="4"/>
  <c r="AE33" i="4"/>
  <c r="AE34" i="4"/>
  <c r="AE35" i="4"/>
  <c r="AE36" i="4"/>
  <c r="AE37" i="4"/>
  <c r="AE38" i="4"/>
  <c r="AE39" i="4"/>
  <c r="AE40" i="4"/>
  <c r="AE41" i="4"/>
  <c r="AE42" i="4"/>
  <c r="AE43" i="4"/>
  <c r="AE44" i="4"/>
  <c r="AE45" i="4"/>
  <c r="AE46" i="4"/>
  <c r="AE47" i="4"/>
  <c r="AE48" i="4"/>
  <c r="AE49" i="4"/>
  <c r="AE50" i="4"/>
  <c r="AE51" i="4"/>
  <c r="AE52" i="4"/>
  <c r="AE53" i="4"/>
  <c r="AE54" i="4"/>
  <c r="AE55" i="4"/>
  <c r="AE56" i="4"/>
  <c r="AE57" i="4"/>
  <c r="AE58" i="4"/>
  <c r="AE59" i="4"/>
  <c r="AE60" i="4"/>
  <c r="AE61" i="4"/>
  <c r="AE62" i="4"/>
  <c r="AE63" i="4"/>
  <c r="AE64" i="4"/>
  <c r="AE65" i="4"/>
  <c r="AE66" i="4"/>
  <c r="AE67" i="4"/>
  <c r="AE68" i="4"/>
  <c r="AE69" i="4"/>
  <c r="AE70" i="4"/>
  <c r="AE71" i="4"/>
  <c r="AE72" i="4"/>
  <c r="AE5" i="4"/>
  <c r="AD5" i="4"/>
  <c r="AA6" i="4"/>
  <c r="AA7" i="4"/>
  <c r="AA8" i="4"/>
  <c r="AA9" i="4"/>
  <c r="AA10" i="4"/>
  <c r="AA11" i="4"/>
  <c r="AA12" i="4"/>
  <c r="AA13" i="4"/>
  <c r="AA14" i="4"/>
  <c r="AA15" i="4"/>
  <c r="AA16" i="4"/>
  <c r="AA17" i="4"/>
  <c r="AA18" i="4"/>
  <c r="AA19" i="4"/>
  <c r="AA20" i="4"/>
  <c r="AA21" i="4"/>
  <c r="AA22" i="4"/>
  <c r="AA23" i="4"/>
  <c r="AA24" i="4"/>
  <c r="AA25" i="4"/>
  <c r="AA26" i="4"/>
  <c r="AA27" i="4"/>
  <c r="AA28" i="4"/>
  <c r="AA29" i="4"/>
  <c r="AA30" i="4"/>
  <c r="AA31" i="4"/>
  <c r="AA32" i="4"/>
  <c r="AA33" i="4"/>
  <c r="AA34" i="4"/>
  <c r="AA35" i="4"/>
  <c r="AA36" i="4"/>
  <c r="AA37" i="4"/>
  <c r="AA38" i="4"/>
  <c r="AA39" i="4"/>
  <c r="AA40" i="4"/>
  <c r="AA41" i="4"/>
  <c r="AA42" i="4"/>
  <c r="AA43" i="4"/>
  <c r="AA44" i="4"/>
  <c r="AA45" i="4"/>
  <c r="AA46" i="4"/>
  <c r="AA47" i="4"/>
  <c r="AA48" i="4"/>
  <c r="AA49" i="4"/>
  <c r="AA50" i="4"/>
  <c r="AA51" i="4"/>
  <c r="AA52" i="4"/>
  <c r="AA53" i="4"/>
  <c r="AA54" i="4"/>
  <c r="AA55" i="4"/>
  <c r="AA56" i="4"/>
  <c r="AA57" i="4"/>
  <c r="AA58" i="4"/>
  <c r="AA59" i="4"/>
  <c r="AA60" i="4"/>
  <c r="AA61" i="4"/>
  <c r="AA62" i="4"/>
  <c r="AA63" i="4"/>
  <c r="AA64" i="4"/>
  <c r="AA65" i="4"/>
  <c r="AA66" i="4"/>
  <c r="AA67" i="4"/>
  <c r="AA68" i="4"/>
  <c r="AA69" i="4"/>
  <c r="AA70" i="4"/>
  <c r="AA71" i="4"/>
  <c r="AA72" i="4"/>
  <c r="AA5" i="4"/>
  <c r="AD6" i="4"/>
  <c r="AD7" i="4"/>
  <c r="AD8" i="4"/>
  <c r="AD9" i="4"/>
  <c r="AD10" i="4"/>
  <c r="AD11" i="4"/>
  <c r="AD12" i="4"/>
  <c r="AD13" i="4"/>
  <c r="AD14" i="4"/>
  <c r="AD15" i="4"/>
  <c r="AD16" i="4"/>
  <c r="AD17" i="4"/>
  <c r="AD18" i="4"/>
  <c r="AD19" i="4"/>
  <c r="AD20" i="4"/>
  <c r="AD21" i="4"/>
  <c r="AD22" i="4"/>
  <c r="AD23" i="4"/>
  <c r="AD24" i="4"/>
  <c r="AD25" i="4"/>
  <c r="AD26" i="4"/>
  <c r="AD27" i="4"/>
  <c r="AD28" i="4"/>
  <c r="AD29" i="4"/>
  <c r="AD30" i="4"/>
  <c r="AD31" i="4"/>
  <c r="AD32" i="4"/>
  <c r="AD33" i="4"/>
  <c r="AD34" i="4"/>
  <c r="AD35" i="4"/>
  <c r="AD36" i="4"/>
  <c r="AD37" i="4"/>
  <c r="AD38" i="4"/>
  <c r="AD39" i="4"/>
  <c r="AD40" i="4"/>
  <c r="AD41" i="4"/>
  <c r="AD42" i="4"/>
  <c r="AD43" i="4"/>
  <c r="AD44" i="4"/>
  <c r="AD45" i="4"/>
  <c r="AD46" i="4"/>
  <c r="AD47" i="4"/>
  <c r="AD48" i="4"/>
  <c r="AD49" i="4"/>
  <c r="AD50" i="4"/>
  <c r="AD51" i="4"/>
  <c r="AD52" i="4"/>
  <c r="AD53" i="4"/>
  <c r="AD54" i="4"/>
  <c r="AD55" i="4"/>
  <c r="AD56" i="4"/>
  <c r="AD57" i="4"/>
  <c r="AD58" i="4"/>
  <c r="AD59" i="4"/>
  <c r="AD60" i="4"/>
  <c r="AD61" i="4"/>
  <c r="AD62" i="4"/>
  <c r="AD63" i="4"/>
  <c r="AD64" i="4"/>
  <c r="AD65" i="4"/>
  <c r="AD66" i="4"/>
  <c r="AD67" i="4"/>
  <c r="AD68" i="4"/>
  <c r="AD69" i="4"/>
  <c r="AD70" i="4"/>
  <c r="AD71" i="4"/>
  <c r="AD72" i="4"/>
  <c r="AB6" i="4"/>
  <c r="AB7" i="4"/>
  <c r="AB8" i="4"/>
  <c r="AB9" i="4"/>
  <c r="AB10" i="4"/>
  <c r="AB11" i="4"/>
  <c r="AB12" i="4"/>
  <c r="AB13" i="4"/>
  <c r="AB14" i="4"/>
  <c r="AB15" i="4"/>
  <c r="AB16" i="4"/>
  <c r="AB17" i="4"/>
  <c r="AB18" i="4"/>
  <c r="AB19" i="4"/>
  <c r="AB20" i="4"/>
  <c r="AB21" i="4"/>
  <c r="AB22" i="4"/>
  <c r="AB23" i="4"/>
  <c r="AB24" i="4"/>
  <c r="AB25" i="4"/>
  <c r="AB26" i="4"/>
  <c r="AB27" i="4"/>
  <c r="AB28" i="4"/>
  <c r="AB29" i="4"/>
  <c r="AB30" i="4"/>
  <c r="AB31" i="4"/>
  <c r="AB32" i="4"/>
  <c r="AB33" i="4"/>
  <c r="AB34" i="4"/>
  <c r="AB35" i="4"/>
  <c r="AB36" i="4"/>
  <c r="AB37" i="4"/>
  <c r="AB38" i="4"/>
  <c r="AB39" i="4"/>
  <c r="AB40" i="4"/>
  <c r="AB41" i="4"/>
  <c r="AB42" i="4"/>
  <c r="AB43" i="4"/>
  <c r="AB44" i="4"/>
  <c r="AB45" i="4"/>
  <c r="AB46" i="4"/>
  <c r="AB47" i="4"/>
  <c r="AB48" i="4"/>
  <c r="AB49" i="4"/>
  <c r="AB50" i="4"/>
  <c r="AB51" i="4"/>
  <c r="AB52" i="4"/>
  <c r="AB53" i="4"/>
  <c r="AB54" i="4"/>
  <c r="AB55" i="4"/>
  <c r="AB56" i="4"/>
  <c r="AB57" i="4"/>
  <c r="AB58" i="4"/>
  <c r="AB59" i="4"/>
  <c r="AB60" i="4"/>
  <c r="AB61" i="4"/>
  <c r="AB62" i="4"/>
  <c r="AB63" i="4"/>
  <c r="AB64" i="4"/>
  <c r="AB65" i="4"/>
  <c r="AB66" i="4"/>
  <c r="AB67" i="4"/>
  <c r="AB68" i="4"/>
  <c r="AB69" i="4"/>
  <c r="AB70" i="4"/>
  <c r="AB71" i="4"/>
  <c r="AB72" i="4"/>
  <c r="W5" i="1"/>
  <c r="X5" i="1"/>
  <c r="W6" i="1"/>
  <c r="X6" i="1"/>
  <c r="W7" i="1"/>
  <c r="X7" i="1"/>
  <c r="W8" i="1"/>
  <c r="X8" i="1"/>
  <c r="W9" i="1"/>
  <c r="X9" i="1"/>
  <c r="W10" i="1"/>
  <c r="X10" i="1"/>
  <c r="W11" i="1"/>
  <c r="X11" i="1"/>
  <c r="W12" i="1"/>
  <c r="X12" i="1"/>
  <c r="W13" i="1"/>
  <c r="X13" i="1"/>
  <c r="W14" i="1"/>
  <c r="X14" i="1"/>
  <c r="W15" i="1"/>
  <c r="X15" i="1"/>
  <c r="W16" i="1"/>
  <c r="X16" i="1"/>
  <c r="W17" i="1"/>
  <c r="X17" i="1"/>
  <c r="W18" i="1"/>
  <c r="X18" i="1"/>
  <c r="W19" i="1"/>
  <c r="X19" i="1"/>
  <c r="W20" i="1"/>
  <c r="X20" i="1"/>
  <c r="W21" i="1"/>
  <c r="X21" i="1"/>
  <c r="W22" i="1"/>
  <c r="X22" i="1"/>
  <c r="W23" i="1"/>
  <c r="X23" i="1"/>
  <c r="W24" i="1"/>
  <c r="X24" i="1"/>
  <c r="W25" i="1"/>
  <c r="X25" i="1"/>
  <c r="W26" i="1"/>
  <c r="X26" i="1"/>
  <c r="W27" i="1"/>
  <c r="X27" i="1"/>
  <c r="W28" i="1"/>
  <c r="X28" i="1"/>
  <c r="W29" i="1"/>
  <c r="X29" i="1"/>
  <c r="W30" i="1"/>
  <c r="X30" i="1"/>
  <c r="W31" i="1"/>
  <c r="X31" i="1"/>
  <c r="W32" i="1"/>
  <c r="X32" i="1"/>
  <c r="W33" i="1"/>
  <c r="X33" i="1"/>
  <c r="W34" i="1"/>
  <c r="X34" i="1"/>
  <c r="W35" i="1"/>
  <c r="X35" i="1"/>
  <c r="W36" i="1"/>
  <c r="X36" i="1"/>
  <c r="W37" i="1"/>
  <c r="X37" i="1"/>
  <c r="W38" i="1"/>
  <c r="X38" i="1"/>
  <c r="W39" i="1"/>
  <c r="X39" i="1"/>
  <c r="W40" i="1"/>
  <c r="X40" i="1"/>
  <c r="W41" i="1"/>
  <c r="X41" i="1"/>
  <c r="X42" i="1"/>
  <c r="W43" i="1"/>
  <c r="X43" i="1"/>
  <c r="W44" i="1"/>
  <c r="X44" i="1"/>
  <c r="W45" i="1"/>
  <c r="X45" i="1"/>
  <c r="W46" i="1"/>
  <c r="X46" i="1"/>
  <c r="W47" i="1"/>
  <c r="X47" i="1"/>
  <c r="W48" i="1"/>
  <c r="X48" i="1"/>
  <c r="W49" i="1"/>
  <c r="X49" i="1"/>
  <c r="W50" i="1"/>
  <c r="X50" i="1"/>
  <c r="W51" i="1"/>
  <c r="X51" i="1"/>
  <c r="W52" i="1"/>
  <c r="X52" i="1"/>
  <c r="W53" i="1"/>
  <c r="X53" i="1"/>
  <c r="W54" i="1"/>
  <c r="X54" i="1"/>
  <c r="W55" i="1"/>
  <c r="X55" i="1"/>
  <c r="W56" i="1"/>
  <c r="X56" i="1"/>
  <c r="W57" i="1"/>
  <c r="X57" i="1"/>
  <c r="W58" i="1"/>
  <c r="X58" i="1"/>
  <c r="W59" i="1"/>
  <c r="X59" i="1"/>
  <c r="W60" i="1"/>
  <c r="X60" i="1"/>
  <c r="W61" i="1"/>
  <c r="X61" i="1"/>
  <c r="W62" i="1"/>
  <c r="X62" i="1"/>
  <c r="W63" i="1"/>
  <c r="X63" i="1"/>
  <c r="W64" i="1"/>
  <c r="X64" i="1"/>
  <c r="W65" i="1"/>
  <c r="X65" i="1"/>
  <c r="W66" i="1"/>
  <c r="X66" i="1"/>
  <c r="W67" i="1"/>
  <c r="X67" i="1"/>
  <c r="W68" i="1"/>
  <c r="X68" i="1"/>
  <c r="W69" i="1"/>
  <c r="X69" i="1"/>
  <c r="W70" i="1"/>
  <c r="X70" i="1"/>
  <c r="W71" i="1"/>
  <c r="X71" i="1"/>
  <c r="W72" i="1"/>
  <c r="X72" i="1"/>
  <c r="AR57" i="3"/>
  <c r="AR41" i="3"/>
  <c r="AR73" i="3"/>
  <c r="AR10" i="3"/>
  <c r="K214" i="3"/>
  <c r="AR106" i="3"/>
  <c r="AR25" i="3"/>
  <c r="AR89" i="3"/>
  <c r="AR9" i="3"/>
  <c r="AR26" i="3"/>
  <c r="AR5" i="3"/>
  <c r="AR105" i="3"/>
  <c r="AR60" i="3"/>
  <c r="AR44" i="3"/>
  <c r="AR28" i="3"/>
  <c r="AR42" i="3"/>
  <c r="AR58" i="3"/>
  <c r="AR27" i="3"/>
  <c r="AR91" i="3"/>
  <c r="AR59" i="3"/>
  <c r="AR43" i="3"/>
  <c r="AR90" i="3"/>
  <c r="AR74" i="3"/>
  <c r="AR6" i="3"/>
  <c r="AR11" i="3"/>
  <c r="AR96" i="3"/>
  <c r="AR64" i="3"/>
  <c r="AR48" i="3"/>
  <c r="AR16" i="3"/>
  <c r="AS16" i="3"/>
  <c r="AR93" i="3"/>
  <c r="AR61" i="3"/>
  <c r="AR45" i="3"/>
  <c r="AR29" i="3"/>
  <c r="AR92" i="3"/>
  <c r="K188" i="3"/>
  <c r="AR80" i="3"/>
  <c r="K140" i="3"/>
  <c r="AR32" i="3"/>
  <c r="K171" i="3"/>
  <c r="AR63" i="3"/>
  <c r="K123" i="3"/>
  <c r="AR15" i="3"/>
  <c r="AR79" i="3"/>
  <c r="AR47" i="3"/>
  <c r="K202" i="3"/>
  <c r="AR94" i="3"/>
  <c r="K186" i="3"/>
  <c r="AR78" i="3"/>
  <c r="K170" i="3"/>
  <c r="AR62" i="3"/>
  <c r="K122" i="3"/>
  <c r="AR14" i="3"/>
  <c r="K121" i="3"/>
  <c r="AR13" i="3"/>
  <c r="K184" i="3"/>
  <c r="AR76" i="3"/>
  <c r="AR75" i="3"/>
  <c r="AR95" i="3"/>
  <c r="AR31" i="3"/>
  <c r="AR46" i="3"/>
  <c r="K138" i="3"/>
  <c r="AR30" i="3"/>
  <c r="K185" i="3"/>
  <c r="AR77" i="3"/>
  <c r="K120" i="3"/>
  <c r="AR12" i="3"/>
  <c r="K212" i="3"/>
  <c r="AR104" i="3"/>
  <c r="K196" i="3"/>
  <c r="AR88" i="3"/>
  <c r="K180" i="3"/>
  <c r="AR72" i="3"/>
  <c r="K164" i="3"/>
  <c r="AR56" i="3"/>
  <c r="K148" i="3"/>
  <c r="AR40" i="3"/>
  <c r="K132" i="3"/>
  <c r="AR24" i="3"/>
  <c r="K116" i="3"/>
  <c r="AR8" i="3"/>
  <c r="AR103" i="3"/>
  <c r="AR87" i="3"/>
  <c r="AR71" i="3"/>
  <c r="AR55" i="3"/>
  <c r="AR39" i="3"/>
  <c r="AR23" i="3"/>
  <c r="AR7" i="3"/>
  <c r="AR102" i="3"/>
  <c r="AS102" i="3"/>
  <c r="AR86" i="3"/>
  <c r="AR70" i="3"/>
  <c r="AR54" i="3"/>
  <c r="AR38" i="3"/>
  <c r="AR22" i="3"/>
  <c r="AR101" i="3"/>
  <c r="AR85" i="3"/>
  <c r="AR69" i="3"/>
  <c r="AR53" i="3"/>
  <c r="AR37" i="3"/>
  <c r="AR21" i="3"/>
  <c r="AR100" i="3"/>
  <c r="AR52" i="3"/>
  <c r="AR20" i="3"/>
  <c r="AR84" i="3"/>
  <c r="AR99" i="3"/>
  <c r="AR83" i="3"/>
  <c r="AR51" i="3"/>
  <c r="AR35" i="3"/>
  <c r="AR19" i="3"/>
  <c r="AR68" i="3"/>
  <c r="AR36" i="3"/>
  <c r="AR67" i="3"/>
  <c r="AR98" i="3"/>
  <c r="AR82" i="3"/>
  <c r="AR66" i="3"/>
  <c r="AR50" i="3"/>
  <c r="AR34" i="3"/>
  <c r="AR18" i="3"/>
  <c r="AR97" i="3"/>
  <c r="AR81" i="3"/>
  <c r="AR65" i="3"/>
  <c r="AR33" i="3"/>
  <c r="AR17" i="3"/>
  <c r="AR49" i="3"/>
  <c r="AQ56" i="3"/>
  <c r="AQ104" i="3"/>
  <c r="AQ40" i="3"/>
  <c r="AQ24" i="3"/>
  <c r="AQ105" i="3"/>
  <c r="AS105" i="3"/>
  <c r="AQ55" i="3"/>
  <c r="AQ23" i="3"/>
  <c r="AQ102" i="3"/>
  <c r="AQ38" i="3"/>
  <c r="AQ95" i="3"/>
  <c r="AQ47" i="3"/>
  <c r="AQ39" i="3"/>
  <c r="AQ54" i="3"/>
  <c r="AQ22" i="3"/>
  <c r="AQ63" i="3"/>
  <c r="AQ15" i="3"/>
  <c r="AQ97" i="3"/>
  <c r="AQ81" i="3"/>
  <c r="AQ65" i="3"/>
  <c r="AQ49" i="3"/>
  <c r="AQ17" i="3"/>
  <c r="AQ96" i="3"/>
  <c r="AQ80" i="3"/>
  <c r="AQ64" i="3"/>
  <c r="AQ48" i="3"/>
  <c r="AQ16" i="3"/>
  <c r="AQ5" i="3"/>
  <c r="K32" i="3"/>
  <c r="AQ32" i="3"/>
  <c r="K33" i="3"/>
  <c r="AQ33" i="3"/>
  <c r="K79" i="3"/>
  <c r="AQ79" i="3"/>
  <c r="K94" i="3"/>
  <c r="AQ94" i="3"/>
  <c r="K62" i="3"/>
  <c r="AQ62" i="3"/>
  <c r="K14" i="3"/>
  <c r="AQ14" i="3"/>
  <c r="K93" i="3"/>
  <c r="AQ93" i="3"/>
  <c r="K61" i="3"/>
  <c r="AQ61" i="3"/>
  <c r="K13" i="3"/>
  <c r="AQ13" i="3"/>
  <c r="AQ87" i="3"/>
  <c r="K76" i="3"/>
  <c r="AQ76" i="3"/>
  <c r="K44" i="3"/>
  <c r="AQ44" i="3"/>
  <c r="K12" i="3"/>
  <c r="AQ12" i="3"/>
  <c r="AQ86" i="3"/>
  <c r="AQ8" i="3"/>
  <c r="K91" i="3"/>
  <c r="AQ91" i="3"/>
  <c r="K59" i="3"/>
  <c r="AQ59" i="3"/>
  <c r="K43" i="3"/>
  <c r="AQ43" i="3"/>
  <c r="K11" i="3"/>
  <c r="AQ11" i="3"/>
  <c r="AS11" i="3"/>
  <c r="AQ7" i="3"/>
  <c r="K90" i="3"/>
  <c r="AQ90" i="3"/>
  <c r="K58" i="3"/>
  <c r="AQ58" i="3"/>
  <c r="AS58" i="3"/>
  <c r="K10" i="3"/>
  <c r="AQ10" i="3"/>
  <c r="AS10" i="3"/>
  <c r="AQ6" i="3"/>
  <c r="K73" i="3"/>
  <c r="AQ73" i="3"/>
  <c r="AS73" i="3"/>
  <c r="K9" i="3"/>
  <c r="AQ9" i="3"/>
  <c r="AS9" i="3"/>
  <c r="AQ72" i="3"/>
  <c r="AQ103" i="3"/>
  <c r="K88" i="3"/>
  <c r="AQ88" i="3"/>
  <c r="AQ78" i="3"/>
  <c r="AQ46" i="3"/>
  <c r="AQ77" i="3"/>
  <c r="AQ45" i="3"/>
  <c r="AQ92" i="3"/>
  <c r="AQ60" i="3"/>
  <c r="AQ75" i="3"/>
  <c r="AQ27" i="3"/>
  <c r="AQ106" i="3"/>
  <c r="AQ74" i="3"/>
  <c r="AQ42" i="3"/>
  <c r="AQ26" i="3"/>
  <c r="AS26" i="3"/>
  <c r="AQ31" i="3"/>
  <c r="AQ89" i="3"/>
  <c r="AS89" i="3"/>
  <c r="AQ57" i="3"/>
  <c r="AS57" i="3"/>
  <c r="AQ25" i="3"/>
  <c r="K30" i="3"/>
  <c r="AQ30" i="3"/>
  <c r="K29" i="3"/>
  <c r="AQ29" i="3"/>
  <c r="K28" i="3"/>
  <c r="AQ28" i="3"/>
  <c r="AQ71" i="3"/>
  <c r="AQ70" i="3"/>
  <c r="AQ41" i="3"/>
  <c r="AS41" i="3"/>
  <c r="AQ101" i="3"/>
  <c r="AQ85" i="3"/>
  <c r="AQ69" i="3"/>
  <c r="AQ53" i="3"/>
  <c r="AQ37" i="3"/>
  <c r="AQ21" i="3"/>
  <c r="AQ100" i="3"/>
  <c r="AQ84" i="3"/>
  <c r="AQ68" i="3"/>
  <c r="AQ52" i="3"/>
  <c r="AQ36" i="3"/>
  <c r="AQ20" i="3"/>
  <c r="AQ99" i="3"/>
  <c r="AQ83" i="3"/>
  <c r="AQ67" i="3"/>
  <c r="AQ51" i="3"/>
  <c r="AQ35" i="3"/>
  <c r="AQ19" i="3"/>
  <c r="AQ98" i="3"/>
  <c r="AQ82" i="3"/>
  <c r="AQ66" i="3"/>
  <c r="AQ50" i="3"/>
  <c r="AQ34" i="3"/>
  <c r="AQ18" i="3"/>
  <c r="AS106" i="3"/>
  <c r="AS5" i="3"/>
  <c r="AS25" i="3"/>
  <c r="AS42" i="3"/>
  <c r="AS6" i="3"/>
  <c r="AS74" i="3"/>
  <c r="AS43" i="3"/>
  <c r="AS59" i="3"/>
  <c r="AS39" i="3"/>
  <c r="AS28" i="3"/>
  <c r="AS44" i="3"/>
  <c r="AS60" i="3"/>
  <c r="AS90" i="3"/>
  <c r="AS27" i="3"/>
  <c r="AS45" i="3"/>
  <c r="AS91" i="3"/>
  <c r="AS71" i="3"/>
  <c r="AS29" i="3"/>
  <c r="AS48" i="3"/>
  <c r="AS64" i="3"/>
  <c r="AS61" i="3"/>
  <c r="AS75" i="3"/>
  <c r="AS94" i="3"/>
  <c r="AS96" i="3"/>
  <c r="AS93" i="3"/>
  <c r="AS81" i="3"/>
  <c r="AS37" i="3"/>
  <c r="AS97" i="3"/>
  <c r="AS66" i="3"/>
  <c r="AS7" i="3"/>
  <c r="AS18" i="3"/>
  <c r="AS84" i="3"/>
  <c r="AS55" i="3"/>
  <c r="AS34" i="3"/>
  <c r="AS100" i="3"/>
  <c r="AS87" i="3"/>
  <c r="AS17" i="3"/>
  <c r="AS50" i="3"/>
  <c r="AS21" i="3"/>
  <c r="AS49" i="3"/>
  <c r="AS24" i="3"/>
  <c r="AS65" i="3"/>
  <c r="AS79" i="3"/>
  <c r="AS47" i="3"/>
  <c r="AS46" i="3"/>
  <c r="AS76" i="3"/>
  <c r="AS31" i="3"/>
  <c r="AS13" i="3"/>
  <c r="AS40" i="3"/>
  <c r="AS104" i="3"/>
  <c r="AS14" i="3"/>
  <c r="AS56" i="3"/>
  <c r="AS62" i="3"/>
  <c r="AS15" i="3"/>
  <c r="AS72" i="3"/>
  <c r="AS63" i="3"/>
  <c r="AS92" i="3"/>
  <c r="AS32" i="3"/>
  <c r="AS77" i="3"/>
  <c r="AS8" i="3"/>
  <c r="AS95" i="3"/>
  <c r="AS30" i="3"/>
  <c r="AS78" i="3"/>
  <c r="AS88" i="3"/>
  <c r="AS12" i="3"/>
  <c r="AS80" i="3"/>
  <c r="AS19" i="3"/>
  <c r="AS98" i="3"/>
  <c r="AS51" i="3"/>
  <c r="AS33" i="3"/>
  <c r="AS54" i="3"/>
  <c r="AS83" i="3"/>
  <c r="AS53" i="3"/>
  <c r="AS85" i="3"/>
  <c r="AS67" i="3"/>
  <c r="AS20" i="3"/>
  <c r="AS69" i="3"/>
  <c r="AS35" i="3"/>
  <c r="AS99" i="3"/>
  <c r="AS86" i="3"/>
  <c r="AS38" i="3"/>
  <c r="AS52" i="3"/>
  <c r="AS82" i="3"/>
  <c r="AS101" i="3"/>
  <c r="AS22" i="3"/>
  <c r="AS70" i="3"/>
  <c r="AS36" i="3"/>
  <c r="AS68" i="3"/>
  <c r="AS103" i="3"/>
  <c r="AS23" i="3"/>
</calcChain>
</file>

<file path=xl/sharedStrings.xml><?xml version="1.0" encoding="utf-8"?>
<sst xmlns="http://schemas.openxmlformats.org/spreadsheetml/2006/main" count="651" uniqueCount="255">
  <si>
    <t>ID</t>
  </si>
  <si>
    <t>檔名：既有問卷-貝克憂鬱量表-第二版.pdf  版本日期：2024.12.25 V2</t>
  </si>
  <si>
    <t>得分</t>
  </si>
  <si>
    <t>判斷有無憂鬱症
(1有, 0沒有)</t>
  </si>
  <si>
    <t>A001</t>
  </si>
  <si>
    <t>A002</t>
  </si>
  <si>
    <t>A003</t>
  </si>
  <si>
    <t>A004</t>
  </si>
  <si>
    <t>A005</t>
  </si>
  <si>
    <t>A006</t>
  </si>
  <si>
    <t>A007</t>
  </si>
  <si>
    <t>A008</t>
  </si>
  <si>
    <t>A009</t>
  </si>
  <si>
    <t>A010</t>
  </si>
  <si>
    <t>A011</t>
  </si>
  <si>
    <t>A012</t>
  </si>
  <si>
    <t>A013</t>
  </si>
  <si>
    <t>A014</t>
  </si>
  <si>
    <t>A015</t>
  </si>
  <si>
    <t>A016</t>
  </si>
  <si>
    <t>A017</t>
  </si>
  <si>
    <t>A018</t>
  </si>
  <si>
    <t>A019</t>
  </si>
  <si>
    <t>A020</t>
  </si>
  <si>
    <t>A021</t>
  </si>
  <si>
    <t>A022</t>
  </si>
  <si>
    <t>A023</t>
  </si>
  <si>
    <t>A024</t>
  </si>
  <si>
    <t>A025</t>
  </si>
  <si>
    <t>A026</t>
  </si>
  <si>
    <t>A027</t>
  </si>
  <si>
    <t>A028</t>
  </si>
  <si>
    <t>A029</t>
  </si>
  <si>
    <t>A030</t>
  </si>
  <si>
    <t>A031</t>
  </si>
  <si>
    <t>A032</t>
  </si>
  <si>
    <t>A033</t>
  </si>
  <si>
    <t>A034</t>
  </si>
  <si>
    <t>A035</t>
  </si>
  <si>
    <t>A036</t>
  </si>
  <si>
    <t>A037</t>
  </si>
  <si>
    <t>A038</t>
  </si>
  <si>
    <t>A039</t>
  </si>
  <si>
    <t>A040</t>
  </si>
  <si>
    <t>A041</t>
  </si>
  <si>
    <t>A042</t>
  </si>
  <si>
    <t>A043</t>
  </si>
  <si>
    <t>A044</t>
  </si>
  <si>
    <t>A045</t>
  </si>
  <si>
    <t>A046</t>
  </si>
  <si>
    <t>A047</t>
  </si>
  <si>
    <t>A048</t>
  </si>
  <si>
    <t>A049</t>
  </si>
  <si>
    <t>A050</t>
  </si>
  <si>
    <t>A051</t>
  </si>
  <si>
    <t>A052</t>
  </si>
  <si>
    <t>A053</t>
  </si>
  <si>
    <t>A054</t>
  </si>
  <si>
    <t>A055</t>
  </si>
  <si>
    <t>A056</t>
  </si>
  <si>
    <t>A057</t>
  </si>
  <si>
    <t>A058</t>
  </si>
  <si>
    <t>A059</t>
  </si>
  <si>
    <t>A060</t>
  </si>
  <si>
    <t>A061</t>
  </si>
  <si>
    <t>A062</t>
  </si>
  <si>
    <t>A063</t>
  </si>
  <si>
    <t>A064</t>
  </si>
  <si>
    <t>A065</t>
  </si>
  <si>
    <t>A066</t>
  </si>
  <si>
    <t>A067</t>
  </si>
  <si>
    <t>A068</t>
  </si>
  <si>
    <t>mins</t>
  </si>
  <si>
    <t>hours</t>
    <phoneticPr fontId="1" type="noConversion"/>
  </si>
  <si>
    <t>mins</t>
    <phoneticPr fontId="1" type="noConversion"/>
  </si>
  <si>
    <t>a</t>
    <phoneticPr fontId="1" type="noConversion"/>
  </si>
  <si>
    <t>b</t>
    <phoneticPr fontId="1" type="noConversion"/>
  </si>
  <si>
    <t>c</t>
    <phoneticPr fontId="1" type="noConversion"/>
  </si>
  <si>
    <t>d</t>
    <phoneticPr fontId="1" type="noConversion"/>
  </si>
  <si>
    <t>e</t>
    <phoneticPr fontId="1" type="noConversion"/>
  </si>
  <si>
    <t>f</t>
    <phoneticPr fontId="1" type="noConversion"/>
  </si>
  <si>
    <t>g</t>
    <phoneticPr fontId="1" type="noConversion"/>
  </si>
  <si>
    <t>h</t>
    <phoneticPr fontId="1" type="noConversion"/>
  </si>
  <si>
    <t>i</t>
    <phoneticPr fontId="1" type="noConversion"/>
  </si>
  <si>
    <t>j</t>
    <phoneticPr fontId="1" type="noConversion"/>
  </si>
  <si>
    <r>
      <rPr>
        <sz val="12"/>
        <rFont val="標楷體"/>
        <family val="4"/>
        <charset val="136"/>
      </rPr>
      <t>匹兹堡睡眠質量指數（</t>
    </r>
    <r>
      <rPr>
        <sz val="12"/>
        <rFont val="Times New Roman"/>
        <family val="1"/>
      </rPr>
      <t>Pittsburgh sleep quality index, PSQI</t>
    </r>
    <r>
      <rPr>
        <sz val="12"/>
        <rFont val="標楷體"/>
        <family val="4"/>
        <charset val="136"/>
      </rPr>
      <t>）</t>
    </r>
    <phoneticPr fontId="1" type="noConversion"/>
  </si>
  <si>
    <t>ID</t>
    <phoneticPr fontId="1" type="noConversion"/>
  </si>
  <si>
    <t>A001</t>
    <phoneticPr fontId="1" type="noConversion"/>
  </si>
  <si>
    <t>A002</t>
    <phoneticPr fontId="1" type="noConversion"/>
  </si>
  <si>
    <t>A003</t>
    <phoneticPr fontId="1" type="noConversion"/>
  </si>
  <si>
    <t>A004</t>
    <phoneticPr fontId="1" type="noConversion"/>
  </si>
  <si>
    <t>A005</t>
    <phoneticPr fontId="1" type="noConversion"/>
  </si>
  <si>
    <t>A006</t>
    <phoneticPr fontId="1" type="noConversion"/>
  </si>
  <si>
    <t>A007</t>
    <phoneticPr fontId="1" type="noConversion"/>
  </si>
  <si>
    <t>A008</t>
    <phoneticPr fontId="1" type="noConversion"/>
  </si>
  <si>
    <t>A009</t>
    <phoneticPr fontId="1" type="noConversion"/>
  </si>
  <si>
    <t>A010</t>
    <phoneticPr fontId="1" type="noConversion"/>
  </si>
  <si>
    <t>A011</t>
    <phoneticPr fontId="1" type="noConversion"/>
  </si>
  <si>
    <t>A012</t>
    <phoneticPr fontId="1" type="noConversion"/>
  </si>
  <si>
    <t>A013</t>
    <phoneticPr fontId="1" type="noConversion"/>
  </si>
  <si>
    <t>A014</t>
    <phoneticPr fontId="1" type="noConversion"/>
  </si>
  <si>
    <t>A015</t>
    <phoneticPr fontId="1" type="noConversion"/>
  </si>
  <si>
    <t>A016</t>
    <phoneticPr fontId="1" type="noConversion"/>
  </si>
  <si>
    <t>A017</t>
    <phoneticPr fontId="1" type="noConversion"/>
  </si>
  <si>
    <t>A018</t>
    <phoneticPr fontId="1" type="noConversion"/>
  </si>
  <si>
    <t>A019</t>
    <phoneticPr fontId="1" type="noConversion"/>
  </si>
  <si>
    <t>A020</t>
    <phoneticPr fontId="1" type="noConversion"/>
  </si>
  <si>
    <t>A021</t>
    <phoneticPr fontId="1" type="noConversion"/>
  </si>
  <si>
    <t>A022</t>
    <phoneticPr fontId="1" type="noConversion"/>
  </si>
  <si>
    <t>A023</t>
    <phoneticPr fontId="1" type="noConversion"/>
  </si>
  <si>
    <t>A024</t>
    <phoneticPr fontId="1" type="noConversion"/>
  </si>
  <si>
    <t>A025</t>
    <phoneticPr fontId="1" type="noConversion"/>
  </si>
  <si>
    <t>A026</t>
    <phoneticPr fontId="1" type="noConversion"/>
  </si>
  <si>
    <t>A027</t>
    <phoneticPr fontId="1" type="noConversion"/>
  </si>
  <si>
    <t>A028</t>
    <phoneticPr fontId="1" type="noConversion"/>
  </si>
  <si>
    <t>A029</t>
    <phoneticPr fontId="1" type="noConversion"/>
  </si>
  <si>
    <t>A030</t>
    <phoneticPr fontId="1" type="noConversion"/>
  </si>
  <si>
    <t>A031</t>
    <phoneticPr fontId="1" type="noConversion"/>
  </si>
  <si>
    <t>A032</t>
    <phoneticPr fontId="1" type="noConversion"/>
  </si>
  <si>
    <t>A033</t>
    <phoneticPr fontId="1" type="noConversion"/>
  </si>
  <si>
    <t>A034</t>
    <phoneticPr fontId="1" type="noConversion"/>
  </si>
  <si>
    <t>A035</t>
    <phoneticPr fontId="1" type="noConversion"/>
  </si>
  <si>
    <t>A036</t>
    <phoneticPr fontId="1" type="noConversion"/>
  </si>
  <si>
    <t>A037</t>
    <phoneticPr fontId="1" type="noConversion"/>
  </si>
  <si>
    <t>A038</t>
    <phoneticPr fontId="1" type="noConversion"/>
  </si>
  <si>
    <t>A039</t>
    <phoneticPr fontId="1" type="noConversion"/>
  </si>
  <si>
    <t>A040</t>
    <phoneticPr fontId="1" type="noConversion"/>
  </si>
  <si>
    <t>A041</t>
    <phoneticPr fontId="1" type="noConversion"/>
  </si>
  <si>
    <t>A042</t>
    <phoneticPr fontId="1" type="noConversion"/>
  </si>
  <si>
    <t>A043</t>
    <phoneticPr fontId="1" type="noConversion"/>
  </si>
  <si>
    <t>A044</t>
    <phoneticPr fontId="1" type="noConversion"/>
  </si>
  <si>
    <t>A045</t>
    <phoneticPr fontId="1" type="noConversion"/>
  </si>
  <si>
    <t>A046</t>
    <phoneticPr fontId="1" type="noConversion"/>
  </si>
  <si>
    <t>A047</t>
    <phoneticPr fontId="1" type="noConversion"/>
  </si>
  <si>
    <t>A048</t>
    <phoneticPr fontId="1" type="noConversion"/>
  </si>
  <si>
    <t>A049</t>
    <phoneticPr fontId="1" type="noConversion"/>
  </si>
  <si>
    <t>A050</t>
    <phoneticPr fontId="1" type="noConversion"/>
  </si>
  <si>
    <t>A051</t>
    <phoneticPr fontId="1" type="noConversion"/>
  </si>
  <si>
    <t>A052</t>
    <phoneticPr fontId="1" type="noConversion"/>
  </si>
  <si>
    <t>A053</t>
    <phoneticPr fontId="1" type="noConversion"/>
  </si>
  <si>
    <t>A054</t>
    <phoneticPr fontId="1" type="noConversion"/>
  </si>
  <si>
    <t>A055</t>
    <phoneticPr fontId="1" type="noConversion"/>
  </si>
  <si>
    <t>A056</t>
    <phoneticPr fontId="1" type="noConversion"/>
  </si>
  <si>
    <t>A057</t>
    <phoneticPr fontId="1" type="noConversion"/>
  </si>
  <si>
    <t>A058</t>
    <phoneticPr fontId="1" type="noConversion"/>
  </si>
  <si>
    <t>A059</t>
    <phoneticPr fontId="1" type="noConversion"/>
  </si>
  <si>
    <t>A060</t>
    <phoneticPr fontId="1" type="noConversion"/>
  </si>
  <si>
    <t>A061</t>
    <phoneticPr fontId="1" type="noConversion"/>
  </si>
  <si>
    <t>A062</t>
    <phoneticPr fontId="1" type="noConversion"/>
  </si>
  <si>
    <t>A063</t>
    <phoneticPr fontId="1" type="noConversion"/>
  </si>
  <si>
    <t>A064</t>
    <phoneticPr fontId="1" type="noConversion"/>
  </si>
  <si>
    <t>A065</t>
    <phoneticPr fontId="1" type="noConversion"/>
  </si>
  <si>
    <t>A066</t>
    <phoneticPr fontId="1" type="noConversion"/>
  </si>
  <si>
    <t>A067</t>
    <phoneticPr fontId="1" type="noConversion"/>
  </si>
  <si>
    <t>A068</t>
    <phoneticPr fontId="1" type="noConversion"/>
  </si>
  <si>
    <t>睡眠品質</t>
    <phoneticPr fontId="1" type="noConversion"/>
  </si>
  <si>
    <t>睡眠潛伏期</t>
    <phoneticPr fontId="1" type="noConversion"/>
  </si>
  <si>
    <t>睡眠時數</t>
    <phoneticPr fontId="1" type="noConversion"/>
  </si>
  <si>
    <t>睡眠效率</t>
    <phoneticPr fontId="1" type="noConversion"/>
  </si>
  <si>
    <t>睡眠困擾</t>
    <phoneticPr fontId="1" type="noConversion"/>
  </si>
  <si>
    <t>安眠藥物使用</t>
    <phoneticPr fontId="1" type="noConversion"/>
  </si>
  <si>
    <t>日間活動失能</t>
    <phoneticPr fontId="1" type="noConversion"/>
  </si>
  <si>
    <t>睡眠障礙總分</t>
    <phoneticPr fontId="1" type="noConversion"/>
  </si>
  <si>
    <t>是否有睡眠障礙</t>
    <phoneticPr fontId="1" type="noConversion"/>
  </si>
  <si>
    <t>A069</t>
    <phoneticPr fontId="1" type="noConversion"/>
  </si>
  <si>
    <t>A070</t>
    <phoneticPr fontId="1" type="noConversion"/>
  </si>
  <si>
    <t>A071</t>
    <phoneticPr fontId="1" type="noConversion"/>
  </si>
  <si>
    <t>A072</t>
    <phoneticPr fontId="1" type="noConversion"/>
  </si>
  <si>
    <t>A073</t>
    <phoneticPr fontId="1" type="noConversion"/>
  </si>
  <si>
    <t>A074</t>
    <phoneticPr fontId="1" type="noConversion"/>
  </si>
  <si>
    <t>A075</t>
    <phoneticPr fontId="1" type="noConversion"/>
  </si>
  <si>
    <t>A076</t>
    <phoneticPr fontId="1" type="noConversion"/>
  </si>
  <si>
    <t>A077</t>
    <phoneticPr fontId="1" type="noConversion"/>
  </si>
  <si>
    <t>A078</t>
    <phoneticPr fontId="1" type="noConversion"/>
  </si>
  <si>
    <t>A079</t>
    <phoneticPr fontId="1" type="noConversion"/>
  </si>
  <si>
    <t>A080</t>
    <phoneticPr fontId="1" type="noConversion"/>
  </si>
  <si>
    <t>A081</t>
    <phoneticPr fontId="1" type="noConversion"/>
  </si>
  <si>
    <t>A082</t>
    <phoneticPr fontId="1" type="noConversion"/>
  </si>
  <si>
    <t>A083</t>
    <phoneticPr fontId="1" type="noConversion"/>
  </si>
  <si>
    <t>A084</t>
    <phoneticPr fontId="1" type="noConversion"/>
  </si>
  <si>
    <t>A085</t>
    <phoneticPr fontId="1" type="noConversion"/>
  </si>
  <si>
    <t>A086</t>
    <phoneticPr fontId="1" type="noConversion"/>
  </si>
  <si>
    <t>A087</t>
    <phoneticPr fontId="1" type="noConversion"/>
  </si>
  <si>
    <t>A088</t>
    <phoneticPr fontId="1" type="noConversion"/>
  </si>
  <si>
    <t>A089</t>
    <phoneticPr fontId="1" type="noConversion"/>
  </si>
  <si>
    <t>A090</t>
    <phoneticPr fontId="1" type="noConversion"/>
  </si>
  <si>
    <t>A091</t>
    <phoneticPr fontId="1" type="noConversion"/>
  </si>
  <si>
    <t>A092</t>
    <phoneticPr fontId="1" type="noConversion"/>
  </si>
  <si>
    <t>A093</t>
    <phoneticPr fontId="1" type="noConversion"/>
  </si>
  <si>
    <t>A094</t>
    <phoneticPr fontId="1" type="noConversion"/>
  </si>
  <si>
    <t>A095</t>
    <phoneticPr fontId="1" type="noConversion"/>
  </si>
  <si>
    <t>A096</t>
    <phoneticPr fontId="1" type="noConversion"/>
  </si>
  <si>
    <t>A097</t>
    <phoneticPr fontId="1" type="noConversion"/>
  </si>
  <si>
    <t>A098</t>
    <phoneticPr fontId="1" type="noConversion"/>
  </si>
  <si>
    <t>A099</t>
    <phoneticPr fontId="1" type="noConversion"/>
  </si>
  <si>
    <t>A100</t>
    <phoneticPr fontId="1" type="noConversion"/>
  </si>
  <si>
    <t>A101</t>
    <phoneticPr fontId="1" type="noConversion"/>
  </si>
  <si>
    <t>A102</t>
    <phoneticPr fontId="1" type="noConversion"/>
  </si>
  <si>
    <t>addicted to phone</t>
    <phoneticPr fontId="1" type="noConversion"/>
  </si>
  <si>
    <t>study</t>
    <phoneticPr fontId="1" type="noConversion"/>
  </si>
  <si>
    <t>中醫體質量表（王琦，版本-1）</t>
    <phoneticPr fontId="1" type="noConversion"/>
  </si>
  <si>
    <t></t>
    <phoneticPr fontId="1" type="noConversion"/>
  </si>
  <si>
    <t></t>
    <phoneticPr fontId="1" type="noConversion"/>
  </si>
  <si>
    <t></t>
    <phoneticPr fontId="1" type="noConversion"/>
  </si>
  <si>
    <t></t>
    <phoneticPr fontId="1" type="noConversion"/>
  </si>
  <si>
    <t></t>
    <phoneticPr fontId="1" type="noConversion"/>
  </si>
  <si>
    <t></t>
    <phoneticPr fontId="1" type="noConversion"/>
  </si>
  <si>
    <t></t>
    <phoneticPr fontId="1" type="noConversion"/>
  </si>
  <si>
    <t></t>
    <phoneticPr fontId="1" type="noConversion"/>
  </si>
  <si>
    <t>A069</t>
  </si>
  <si>
    <t>A070</t>
  </si>
  <si>
    <t>A071</t>
  </si>
  <si>
    <t>A072</t>
  </si>
  <si>
    <t>A073</t>
  </si>
  <si>
    <t>A074</t>
  </si>
  <si>
    <t>A075</t>
  </si>
  <si>
    <t>A076</t>
  </si>
  <si>
    <t>A077</t>
  </si>
  <si>
    <t>A078</t>
  </si>
  <si>
    <t>A079</t>
  </si>
  <si>
    <t>A080</t>
  </si>
  <si>
    <t>A081</t>
  </si>
  <si>
    <t>A082</t>
  </si>
  <si>
    <t>A083</t>
  </si>
  <si>
    <t>A084</t>
  </si>
  <si>
    <t>A085</t>
  </si>
  <si>
    <t>A086</t>
  </si>
  <si>
    <t>A087</t>
  </si>
  <si>
    <t>A088</t>
  </si>
  <si>
    <t>A089</t>
  </si>
  <si>
    <t>A090</t>
  </si>
  <si>
    <t>A091</t>
  </si>
  <si>
    <t>A092</t>
  </si>
  <si>
    <t>A093</t>
  </si>
  <si>
    <t>A094</t>
  </si>
  <si>
    <t>A095</t>
  </si>
  <si>
    <t>A096</t>
  </si>
  <si>
    <t>A097</t>
  </si>
  <si>
    <t>A098</t>
  </si>
  <si>
    <t>A099</t>
  </si>
  <si>
    <t>A100</t>
  </si>
  <si>
    <t>A101</t>
  </si>
  <si>
    <t>A102</t>
  </si>
  <si>
    <t>備註</t>
    <phoneticPr fontId="1" type="noConversion"/>
  </si>
  <si>
    <t>受試者資料有塗改過</t>
    <phoneticPr fontId="1" type="noConversion"/>
  </si>
  <si>
    <t>受試者資料不完全</t>
    <phoneticPr fontId="1" type="noConversion"/>
  </si>
  <si>
    <t>原始分數(Q1~Q4)</t>
    <phoneticPr fontId="1" type="noConversion"/>
  </si>
  <si>
    <t>原始分數(Q1~Q9)</t>
    <phoneticPr fontId="1" type="noConversion"/>
  </si>
  <si>
    <t>原始分數(Q5~Q9)</t>
    <phoneticPr fontId="1" type="noConversion"/>
  </si>
  <si>
    <t>原始分數</t>
    <phoneticPr fontId="1" type="noConversion"/>
  </si>
  <si>
    <t>轉化分數</t>
    <phoneticPr fontId="1" type="noConversion"/>
  </si>
  <si>
    <t>體質判讀</t>
    <phoneticPr fontId="1" type="noConversion"/>
  </si>
  <si>
    <t>偏頗</t>
    <phoneticPr fontId="1" type="noConversion"/>
  </si>
  <si>
    <t>平和</t>
    <phoneticPr fontId="1" type="noConversion"/>
  </si>
  <si>
    <t>output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</si>
</sst>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2"/>
      <name val="PMingLiU"/>
      <family val="1"/>
      <charset val="136"/>
    </font>
    <font>
      <sz val="9"/>
      <name val="PMingLiU"/>
      <family val="1"/>
      <charset val="136"/>
    </font>
    <font>
      <sz val="10"/>
      <name val="PMingLiU"/>
      <family val="1"/>
      <charset val="136"/>
    </font>
    <font>
      <sz val="12"/>
      <name val="標楷體"/>
      <family val="4"/>
      <charset val="136"/>
    </font>
    <font>
      <sz val="12"/>
      <name val="Times New Roman"/>
      <family val="1"/>
    </font>
    <font>
      <sz val="12"/>
      <name val="PMingLiU"/>
      <family val="1"/>
      <charset val="136"/>
    </font>
    <font>
      <sz val="12"/>
      <name val="Wingdings"/>
      <charset val="2"/>
    </font>
    <font>
      <b/>
      <sz val="12"/>
      <name val="標楷體"/>
      <family val="4"/>
      <charset val="136"/>
    </font>
    <font>
      <sz val="12"/>
      <name val="Microsoft JhengHei"/>
      <family val="2"/>
    </font>
    <font>
      <sz val="12"/>
      <color rgb="FFFF0000"/>
      <name val="PMingLiU"/>
      <family val="1"/>
      <charset val="136"/>
    </font>
    <font>
      <b/>
      <sz val="12"/>
      <color rgb="FFFF0000"/>
      <name val="PMingLiU"/>
      <family val="1"/>
      <charset val="136"/>
    </font>
  </fonts>
  <fills count="9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</fills>
  <borders count="12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6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3" borderId="1" xfId="0" applyFill="1" applyBorder="1">
      <alignment vertical="center"/>
    </xf>
    <xf numFmtId="0" fontId="0" fillId="3" borderId="2" xfId="0" applyFill="1" applyBorder="1">
      <alignment vertical="center"/>
    </xf>
    <xf numFmtId="0" fontId="0" fillId="3" borderId="3" xfId="0" applyFill="1" applyBorder="1">
      <alignment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>
      <alignment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Fill="1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0" fillId="0" borderId="0" xfId="0" applyAlignment="1">
      <alignment vertical="center" wrapText="1"/>
    </xf>
    <xf numFmtId="0" fontId="10" fillId="0" borderId="0" xfId="0" applyFont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0" fillId="0" borderId="0" xfId="0" applyFill="1">
      <alignment vertical="center"/>
    </xf>
    <xf numFmtId="0" fontId="6" fillId="3" borderId="3" xfId="0" applyFont="1" applyFill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0" fontId="0" fillId="7" borderId="2" xfId="0" applyFill="1" applyBorder="1">
      <alignment vertical="center"/>
    </xf>
    <xf numFmtId="0" fontId="0" fillId="5" borderId="2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 wrapText="1"/>
    </xf>
    <xf numFmtId="0" fontId="0" fillId="7" borderId="3" xfId="0" applyFill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5" fillId="7" borderId="6" xfId="0" applyFont="1" applyFill="1" applyBorder="1" applyAlignment="1">
      <alignment horizontal="center" vertical="center"/>
    </xf>
    <xf numFmtId="0" fontId="2" fillId="7" borderId="0" xfId="0" applyFont="1" applyFill="1" applyBorder="1" applyAlignment="1">
      <alignment horizontal="center" vertical="center"/>
    </xf>
    <xf numFmtId="0" fontId="2" fillId="7" borderId="7" xfId="0" applyFont="1" applyFill="1" applyBorder="1" applyAlignment="1">
      <alignment horizontal="center" vertical="center"/>
    </xf>
    <xf numFmtId="0" fontId="2" fillId="7" borderId="8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0" fillId="4" borderId="9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0" fillId="4" borderId="4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6" borderId="9" xfId="0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4" fillId="7" borderId="9" xfId="0" applyFont="1" applyFill="1" applyBorder="1" applyAlignment="1">
      <alignment horizontal="center" vertical="center"/>
    </xf>
    <xf numFmtId="0" fontId="0" fillId="7" borderId="4" xfId="0" applyFill="1" applyBorder="1" applyAlignment="1">
      <alignment horizontal="center" vertical="center"/>
    </xf>
    <xf numFmtId="0" fontId="0" fillId="6" borderId="11" xfId="0" applyFill="1" applyBorder="1" applyAlignment="1">
      <alignment horizontal="center" vertical="center"/>
    </xf>
    <xf numFmtId="0" fontId="0" fillId="6" borderId="7" xfId="0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7" fillId="8" borderId="6" xfId="0" applyFont="1" applyFill="1" applyBorder="1" applyAlignment="1">
      <alignment horizontal="center" vertical="center"/>
    </xf>
    <xf numFmtId="0" fontId="0" fillId="8" borderId="6" xfId="0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3" fillId="7" borderId="6" xfId="0" applyFont="1" applyFill="1" applyBorder="1" applyAlignment="1">
      <alignment horizontal="center" vertical="center"/>
    </xf>
    <xf numFmtId="0" fontId="3" fillId="7" borderId="0" xfId="0" applyFont="1" applyFill="1" applyBorder="1" applyAlignment="1">
      <alignment horizontal="center" vertical="center"/>
    </xf>
    <xf numFmtId="0" fontId="3" fillId="7" borderId="7" xfId="0" applyFont="1" applyFill="1" applyBorder="1" applyAlignment="1">
      <alignment horizontal="center" vertical="center"/>
    </xf>
    <xf numFmtId="0" fontId="3" fillId="7" borderId="8" xfId="0" applyFont="1" applyFill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C4B6BD-9D1D-4F23-ACA7-0BF5AF5B40C7}">
  <dimension ref="A1:X106"/>
  <sheetViews>
    <sheetView zoomScale="110" zoomScaleSheetLayoutView="100" workbookViewId="0">
      <selection activeCell="X101" sqref="X101"/>
    </sheetView>
  </sheetViews>
  <sheetFormatPr defaultRowHeight="16.5"/>
  <cols>
    <col min="2" max="10" width="2.625" customWidth="1"/>
    <col min="11" max="22" width="3.625" customWidth="1"/>
    <col min="24" max="24" width="16.375" customWidth="1"/>
  </cols>
  <sheetData>
    <row r="1" spans="1:24">
      <c r="A1" s="21" t="s">
        <v>0</v>
      </c>
      <c r="B1" s="21" t="s">
        <v>1</v>
      </c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5"/>
      <c r="W1" s="23" t="s">
        <v>2</v>
      </c>
      <c r="X1" s="24" t="s">
        <v>3</v>
      </c>
    </row>
    <row r="2" spans="1:24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5"/>
      <c r="W2" s="23"/>
      <c r="X2" s="24"/>
    </row>
    <row r="3" spans="1:24">
      <c r="A3" s="21"/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5"/>
      <c r="W3" s="23"/>
      <c r="X3" s="24"/>
    </row>
    <row r="4" spans="1:24">
      <c r="A4" s="22"/>
      <c r="B4" s="2">
        <v>1</v>
      </c>
      <c r="C4" s="3">
        <v>2</v>
      </c>
      <c r="D4" s="3">
        <v>3</v>
      </c>
      <c r="E4" s="3">
        <v>4</v>
      </c>
      <c r="F4" s="3">
        <v>5</v>
      </c>
      <c r="G4" s="3">
        <v>6</v>
      </c>
      <c r="H4" s="3">
        <v>7</v>
      </c>
      <c r="I4" s="3">
        <v>8</v>
      </c>
      <c r="J4" s="3">
        <v>9</v>
      </c>
      <c r="K4" s="3">
        <v>10</v>
      </c>
      <c r="L4" s="3">
        <v>11</v>
      </c>
      <c r="M4" s="3">
        <v>12</v>
      </c>
      <c r="N4" s="3">
        <v>13</v>
      </c>
      <c r="O4" s="3">
        <v>14</v>
      </c>
      <c r="P4" s="3">
        <v>15</v>
      </c>
      <c r="Q4" s="3">
        <v>16</v>
      </c>
      <c r="R4" s="3">
        <v>17</v>
      </c>
      <c r="S4" s="3">
        <v>18</v>
      </c>
      <c r="T4" s="3">
        <v>19</v>
      </c>
      <c r="U4" s="3">
        <v>20</v>
      </c>
      <c r="V4" s="4">
        <v>21</v>
      </c>
      <c r="W4" s="23"/>
      <c r="X4" s="24"/>
    </row>
    <row r="5" spans="1:24">
      <c r="A5" t="s">
        <v>4</v>
      </c>
      <c r="B5">
        <v>0</v>
      </c>
      <c r="C5">
        <v>0</v>
      </c>
      <c r="D5">
        <v>1</v>
      </c>
      <c r="E5">
        <v>0</v>
      </c>
      <c r="F5">
        <v>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1</v>
      </c>
      <c r="N5">
        <v>1</v>
      </c>
      <c r="O5">
        <v>0</v>
      </c>
      <c r="P5">
        <v>1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f t="shared" ref="W5:W41" si="0">SUM(B5:V5)</f>
        <v>5</v>
      </c>
      <c r="X5">
        <f t="shared" ref="X5:X36" si="1">IF(W5&gt;13,1,0)</f>
        <v>0</v>
      </c>
    </row>
    <row r="6" spans="1:24">
      <c r="A6" t="s">
        <v>5</v>
      </c>
      <c r="B6">
        <v>3</v>
      </c>
      <c r="C6">
        <v>3</v>
      </c>
      <c r="D6">
        <v>3</v>
      </c>
      <c r="E6">
        <v>3</v>
      </c>
      <c r="F6">
        <v>3</v>
      </c>
      <c r="G6">
        <v>2</v>
      </c>
      <c r="H6">
        <v>2</v>
      </c>
      <c r="I6">
        <v>2</v>
      </c>
      <c r="J6">
        <v>1</v>
      </c>
      <c r="K6">
        <v>2</v>
      </c>
      <c r="L6">
        <v>3</v>
      </c>
      <c r="M6">
        <v>2</v>
      </c>
      <c r="N6">
        <v>2</v>
      </c>
      <c r="O6">
        <v>3</v>
      </c>
      <c r="P6">
        <v>2</v>
      </c>
      <c r="Q6">
        <v>1</v>
      </c>
      <c r="R6">
        <v>2</v>
      </c>
      <c r="S6">
        <v>0</v>
      </c>
      <c r="T6">
        <v>0</v>
      </c>
      <c r="U6">
        <v>3</v>
      </c>
      <c r="V6">
        <v>2</v>
      </c>
      <c r="W6">
        <f t="shared" si="0"/>
        <v>44</v>
      </c>
      <c r="X6">
        <f t="shared" si="1"/>
        <v>1</v>
      </c>
    </row>
    <row r="7" spans="1:24">
      <c r="A7" t="s">
        <v>6</v>
      </c>
      <c r="B7">
        <v>0</v>
      </c>
      <c r="C7">
        <v>0</v>
      </c>
      <c r="D7">
        <v>0</v>
      </c>
      <c r="E7">
        <v>1</v>
      </c>
      <c r="F7">
        <v>1</v>
      </c>
      <c r="G7">
        <v>0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1</v>
      </c>
      <c r="O7">
        <v>0</v>
      </c>
      <c r="P7">
        <v>1</v>
      </c>
      <c r="Q7">
        <v>0</v>
      </c>
      <c r="R7">
        <v>1</v>
      </c>
      <c r="S7">
        <v>0</v>
      </c>
      <c r="T7">
        <v>0</v>
      </c>
      <c r="U7">
        <v>0</v>
      </c>
      <c r="V7">
        <v>2</v>
      </c>
      <c r="W7">
        <f t="shared" si="0"/>
        <v>8</v>
      </c>
      <c r="X7">
        <f t="shared" si="1"/>
        <v>0</v>
      </c>
    </row>
    <row r="8" spans="1:24">
      <c r="A8" t="s">
        <v>7</v>
      </c>
      <c r="B8">
        <v>0</v>
      </c>
      <c r="C8">
        <v>2</v>
      </c>
      <c r="D8">
        <v>2</v>
      </c>
      <c r="E8">
        <v>0</v>
      </c>
      <c r="F8">
        <v>3</v>
      </c>
      <c r="G8">
        <v>0</v>
      </c>
      <c r="H8">
        <v>0</v>
      </c>
      <c r="I8">
        <v>2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1</v>
      </c>
      <c r="R8">
        <v>0</v>
      </c>
      <c r="S8">
        <v>0</v>
      </c>
      <c r="T8">
        <v>0</v>
      </c>
      <c r="U8">
        <v>0</v>
      </c>
      <c r="V8">
        <v>0</v>
      </c>
      <c r="W8">
        <f t="shared" si="0"/>
        <v>10</v>
      </c>
      <c r="X8">
        <f t="shared" si="1"/>
        <v>0</v>
      </c>
    </row>
    <row r="9" spans="1:24">
      <c r="A9" t="s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1</v>
      </c>
      <c r="I9">
        <v>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1</v>
      </c>
      <c r="S9">
        <v>0</v>
      </c>
      <c r="T9">
        <v>0</v>
      </c>
      <c r="U9">
        <v>0</v>
      </c>
      <c r="V9">
        <v>0</v>
      </c>
      <c r="W9">
        <f t="shared" si="0"/>
        <v>3</v>
      </c>
      <c r="X9">
        <f t="shared" si="1"/>
        <v>0</v>
      </c>
    </row>
    <row r="10" spans="1:24">
      <c r="A10" t="s">
        <v>9</v>
      </c>
      <c r="B10">
        <v>0</v>
      </c>
      <c r="C10">
        <v>0</v>
      </c>
      <c r="D10">
        <v>0</v>
      </c>
      <c r="E10">
        <v>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1</v>
      </c>
      <c r="S10">
        <v>0</v>
      </c>
      <c r="T10">
        <v>0</v>
      </c>
      <c r="U10">
        <v>1</v>
      </c>
      <c r="V10">
        <v>0</v>
      </c>
      <c r="W10">
        <f t="shared" si="0"/>
        <v>3</v>
      </c>
      <c r="X10">
        <f t="shared" si="1"/>
        <v>0</v>
      </c>
    </row>
    <row r="11" spans="1:24">
      <c r="A11" t="s">
        <v>10</v>
      </c>
      <c r="B11">
        <v>0</v>
      </c>
      <c r="C11">
        <v>1</v>
      </c>
      <c r="D11">
        <v>2</v>
      </c>
      <c r="E11">
        <v>0</v>
      </c>
      <c r="F11">
        <v>1</v>
      </c>
      <c r="G11">
        <v>0</v>
      </c>
      <c r="H11">
        <v>1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2</v>
      </c>
      <c r="P11">
        <v>2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f t="shared" si="0"/>
        <v>10</v>
      </c>
      <c r="X11">
        <f t="shared" si="1"/>
        <v>0</v>
      </c>
    </row>
    <row r="12" spans="1:24">
      <c r="A12" t="s">
        <v>11</v>
      </c>
      <c r="B12">
        <v>1</v>
      </c>
      <c r="C12">
        <v>1</v>
      </c>
      <c r="D12">
        <v>1</v>
      </c>
      <c r="E12">
        <v>1</v>
      </c>
      <c r="F12">
        <v>2</v>
      </c>
      <c r="G12">
        <v>1</v>
      </c>
      <c r="H12">
        <v>1</v>
      </c>
      <c r="I12">
        <v>2</v>
      </c>
      <c r="J12">
        <v>1</v>
      </c>
      <c r="K12">
        <v>1</v>
      </c>
      <c r="L12">
        <v>2</v>
      </c>
      <c r="M12">
        <v>0</v>
      </c>
      <c r="N12">
        <v>0</v>
      </c>
      <c r="O12">
        <v>0</v>
      </c>
      <c r="P12">
        <v>0</v>
      </c>
      <c r="Q12">
        <v>0</v>
      </c>
      <c r="R12">
        <v>1</v>
      </c>
      <c r="S12">
        <v>0</v>
      </c>
      <c r="T12">
        <v>0</v>
      </c>
      <c r="U12">
        <v>1</v>
      </c>
      <c r="V12">
        <v>0</v>
      </c>
      <c r="W12">
        <f t="shared" si="0"/>
        <v>16</v>
      </c>
      <c r="X12">
        <f t="shared" si="1"/>
        <v>1</v>
      </c>
    </row>
    <row r="13" spans="1:24">
      <c r="A13" t="s">
        <v>12</v>
      </c>
      <c r="B13">
        <v>0</v>
      </c>
      <c r="C13">
        <v>1</v>
      </c>
      <c r="D13">
        <v>1</v>
      </c>
      <c r="E13">
        <v>0</v>
      </c>
      <c r="F13">
        <v>1</v>
      </c>
      <c r="G13">
        <v>0</v>
      </c>
      <c r="H13">
        <v>1</v>
      </c>
      <c r="I13">
        <v>0</v>
      </c>
      <c r="J13">
        <v>1</v>
      </c>
      <c r="K13">
        <v>0</v>
      </c>
      <c r="L13">
        <v>0</v>
      </c>
      <c r="M13">
        <v>1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f t="shared" si="0"/>
        <v>6</v>
      </c>
      <c r="X13">
        <f t="shared" si="1"/>
        <v>0</v>
      </c>
    </row>
    <row r="14" spans="1:24">
      <c r="A14" t="s">
        <v>13</v>
      </c>
      <c r="B14">
        <v>0</v>
      </c>
      <c r="C14">
        <v>0</v>
      </c>
      <c r="D14">
        <v>1</v>
      </c>
      <c r="E14">
        <v>0</v>
      </c>
      <c r="F14">
        <v>1</v>
      </c>
      <c r="G14">
        <v>0</v>
      </c>
      <c r="H14">
        <v>0</v>
      </c>
      <c r="I14">
        <v>1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1</v>
      </c>
      <c r="R14">
        <v>0</v>
      </c>
      <c r="S14">
        <v>0</v>
      </c>
      <c r="T14">
        <v>0</v>
      </c>
      <c r="U14">
        <v>0</v>
      </c>
      <c r="V14">
        <v>1</v>
      </c>
      <c r="W14">
        <f t="shared" si="0"/>
        <v>5</v>
      </c>
      <c r="X14">
        <f t="shared" si="1"/>
        <v>0</v>
      </c>
    </row>
    <row r="15" spans="1:24">
      <c r="A15" t="s">
        <v>14</v>
      </c>
      <c r="B15">
        <v>0</v>
      </c>
      <c r="C15">
        <v>0</v>
      </c>
      <c r="D15">
        <v>1</v>
      </c>
      <c r="E15">
        <v>0</v>
      </c>
      <c r="F15">
        <v>1</v>
      </c>
      <c r="G15">
        <v>0</v>
      </c>
      <c r="H15">
        <v>1</v>
      </c>
      <c r="I15">
        <v>1</v>
      </c>
      <c r="J15">
        <v>1</v>
      </c>
      <c r="K15">
        <v>0</v>
      </c>
      <c r="L15">
        <v>0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0</v>
      </c>
      <c r="U15">
        <v>1</v>
      </c>
      <c r="V15">
        <v>0</v>
      </c>
      <c r="W15">
        <f t="shared" si="0"/>
        <v>13</v>
      </c>
      <c r="X15">
        <f t="shared" si="1"/>
        <v>0</v>
      </c>
    </row>
    <row r="16" spans="1:24">
      <c r="A16" t="s">
        <v>15</v>
      </c>
      <c r="B16">
        <v>0</v>
      </c>
      <c r="C16">
        <v>1</v>
      </c>
      <c r="D16">
        <v>0</v>
      </c>
      <c r="E16">
        <v>0</v>
      </c>
      <c r="F16">
        <v>0</v>
      </c>
      <c r="G16">
        <v>0</v>
      </c>
      <c r="H16">
        <v>1</v>
      </c>
      <c r="I16">
        <v>1</v>
      </c>
      <c r="J16">
        <v>0</v>
      </c>
      <c r="K16">
        <v>0</v>
      </c>
      <c r="L16">
        <v>0</v>
      </c>
      <c r="M16">
        <v>1</v>
      </c>
      <c r="N16">
        <v>1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1</v>
      </c>
      <c r="V16">
        <v>1</v>
      </c>
      <c r="W16">
        <f t="shared" si="0"/>
        <v>7</v>
      </c>
      <c r="X16">
        <f t="shared" si="1"/>
        <v>0</v>
      </c>
    </row>
    <row r="17" spans="1:24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1</v>
      </c>
      <c r="R17">
        <v>1</v>
      </c>
      <c r="S17">
        <v>0</v>
      </c>
      <c r="T17">
        <v>0</v>
      </c>
      <c r="U17">
        <v>0</v>
      </c>
      <c r="V17">
        <v>0</v>
      </c>
      <c r="W17">
        <f t="shared" si="0"/>
        <v>2</v>
      </c>
      <c r="X17">
        <f t="shared" si="1"/>
        <v>0</v>
      </c>
    </row>
    <row r="18" spans="1:24">
      <c r="A18" t="s">
        <v>17</v>
      </c>
      <c r="B18">
        <v>0</v>
      </c>
      <c r="C18">
        <v>1</v>
      </c>
      <c r="D18">
        <v>1</v>
      </c>
      <c r="E18">
        <v>1</v>
      </c>
      <c r="F18">
        <v>1</v>
      </c>
      <c r="G18">
        <v>0</v>
      </c>
      <c r="H18">
        <v>1</v>
      </c>
      <c r="I18">
        <v>1</v>
      </c>
      <c r="J18">
        <v>0</v>
      </c>
      <c r="K18">
        <v>0</v>
      </c>
      <c r="L18">
        <v>0</v>
      </c>
      <c r="M18">
        <v>0</v>
      </c>
      <c r="N18">
        <v>2</v>
      </c>
      <c r="O18">
        <v>1</v>
      </c>
      <c r="P18">
        <v>1</v>
      </c>
      <c r="Q18">
        <v>1</v>
      </c>
      <c r="R18">
        <v>2</v>
      </c>
      <c r="S18">
        <v>0</v>
      </c>
      <c r="T18">
        <v>0</v>
      </c>
      <c r="U18">
        <v>1</v>
      </c>
      <c r="V18">
        <v>1</v>
      </c>
      <c r="W18">
        <f t="shared" si="0"/>
        <v>15</v>
      </c>
      <c r="X18">
        <f t="shared" si="1"/>
        <v>1</v>
      </c>
    </row>
    <row r="19" spans="1:24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1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f t="shared" si="0"/>
        <v>1</v>
      </c>
      <c r="X19">
        <f t="shared" si="1"/>
        <v>0</v>
      </c>
    </row>
    <row r="20" spans="1:24">
      <c r="A20" t="s">
        <v>19</v>
      </c>
      <c r="B20">
        <v>1</v>
      </c>
      <c r="C20">
        <v>0</v>
      </c>
      <c r="D20">
        <v>0</v>
      </c>
      <c r="E20">
        <v>1</v>
      </c>
      <c r="F20">
        <v>1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1</v>
      </c>
      <c r="N20">
        <v>1</v>
      </c>
      <c r="O20">
        <v>0</v>
      </c>
      <c r="P20">
        <v>0</v>
      </c>
      <c r="Q20">
        <v>1</v>
      </c>
      <c r="R20">
        <v>1</v>
      </c>
      <c r="S20">
        <v>1</v>
      </c>
      <c r="T20">
        <v>0</v>
      </c>
      <c r="U20">
        <v>1</v>
      </c>
      <c r="V20">
        <v>0</v>
      </c>
      <c r="W20">
        <f t="shared" si="0"/>
        <v>9</v>
      </c>
      <c r="X20">
        <f t="shared" si="1"/>
        <v>0</v>
      </c>
    </row>
    <row r="21" spans="1:24">
      <c r="A21" t="s">
        <v>20</v>
      </c>
      <c r="B21">
        <v>0</v>
      </c>
      <c r="C21">
        <v>1</v>
      </c>
      <c r="D21">
        <v>1</v>
      </c>
      <c r="E21">
        <v>1</v>
      </c>
      <c r="F21">
        <v>1</v>
      </c>
      <c r="G21">
        <v>0</v>
      </c>
      <c r="H21">
        <v>1</v>
      </c>
      <c r="I21">
        <v>1</v>
      </c>
      <c r="J21">
        <v>0</v>
      </c>
      <c r="K21">
        <v>0</v>
      </c>
      <c r="L21">
        <v>1</v>
      </c>
      <c r="M21">
        <v>1</v>
      </c>
      <c r="N21">
        <v>1</v>
      </c>
      <c r="O21">
        <v>1</v>
      </c>
      <c r="P21">
        <v>1</v>
      </c>
      <c r="Q21">
        <v>0</v>
      </c>
      <c r="R21">
        <v>2</v>
      </c>
      <c r="S21">
        <v>0</v>
      </c>
      <c r="T21">
        <v>0</v>
      </c>
      <c r="U21">
        <v>0</v>
      </c>
      <c r="V21">
        <v>0</v>
      </c>
      <c r="W21">
        <f t="shared" si="0"/>
        <v>13</v>
      </c>
      <c r="X21">
        <f t="shared" si="1"/>
        <v>0</v>
      </c>
    </row>
    <row r="22" spans="1:24">
      <c r="A22" t="s">
        <v>21</v>
      </c>
      <c r="B22">
        <v>1</v>
      </c>
      <c r="C22">
        <v>1</v>
      </c>
      <c r="D22">
        <v>0</v>
      </c>
      <c r="E22">
        <v>0</v>
      </c>
      <c r="F22">
        <v>1</v>
      </c>
      <c r="G22">
        <v>0</v>
      </c>
      <c r="H22">
        <v>1</v>
      </c>
      <c r="I22">
        <v>0</v>
      </c>
      <c r="J22">
        <v>1</v>
      </c>
      <c r="K22">
        <v>0</v>
      </c>
      <c r="L22">
        <v>0</v>
      </c>
      <c r="M22">
        <v>0</v>
      </c>
      <c r="N22">
        <v>1</v>
      </c>
      <c r="O22">
        <v>0</v>
      </c>
      <c r="P22">
        <v>2</v>
      </c>
      <c r="Q22">
        <v>0</v>
      </c>
      <c r="R22">
        <v>1</v>
      </c>
      <c r="S22">
        <v>0</v>
      </c>
      <c r="T22">
        <v>0</v>
      </c>
      <c r="U22">
        <v>0</v>
      </c>
      <c r="V22">
        <v>0</v>
      </c>
      <c r="W22">
        <f t="shared" si="0"/>
        <v>9</v>
      </c>
      <c r="X22">
        <f t="shared" si="1"/>
        <v>0</v>
      </c>
    </row>
    <row r="23" spans="1:24">
      <c r="A23" t="s">
        <v>22</v>
      </c>
      <c r="B23">
        <v>0</v>
      </c>
      <c r="C23">
        <v>0</v>
      </c>
      <c r="D23">
        <v>1</v>
      </c>
      <c r="E23">
        <v>0</v>
      </c>
      <c r="F23">
        <v>0</v>
      </c>
      <c r="G23">
        <v>0</v>
      </c>
      <c r="H23">
        <v>0</v>
      </c>
      <c r="I23">
        <v>1</v>
      </c>
      <c r="J23">
        <v>0</v>
      </c>
      <c r="K23">
        <v>0</v>
      </c>
      <c r="L23">
        <v>0</v>
      </c>
      <c r="M23">
        <v>0</v>
      </c>
      <c r="N23">
        <v>1</v>
      </c>
      <c r="O23">
        <v>0</v>
      </c>
      <c r="P23">
        <v>2</v>
      </c>
      <c r="Q23">
        <v>1</v>
      </c>
      <c r="R23">
        <v>1</v>
      </c>
      <c r="S23">
        <v>0</v>
      </c>
      <c r="T23">
        <v>0</v>
      </c>
      <c r="U23">
        <v>0</v>
      </c>
      <c r="V23">
        <v>0</v>
      </c>
      <c r="W23">
        <f t="shared" si="0"/>
        <v>7</v>
      </c>
      <c r="X23">
        <f t="shared" si="1"/>
        <v>0</v>
      </c>
    </row>
    <row r="24" spans="1:24">
      <c r="A24" t="s">
        <v>23</v>
      </c>
      <c r="B24">
        <v>0</v>
      </c>
      <c r="C24">
        <v>0</v>
      </c>
      <c r="D24">
        <v>2</v>
      </c>
      <c r="E24">
        <v>0</v>
      </c>
      <c r="F24">
        <v>1</v>
      </c>
      <c r="G24">
        <v>1</v>
      </c>
      <c r="H24">
        <v>1</v>
      </c>
      <c r="I24">
        <v>2</v>
      </c>
      <c r="J24">
        <v>0</v>
      </c>
      <c r="K24">
        <v>1</v>
      </c>
      <c r="L24">
        <v>2</v>
      </c>
      <c r="M24">
        <v>1</v>
      </c>
      <c r="N24">
        <v>0</v>
      </c>
      <c r="O24">
        <v>1</v>
      </c>
      <c r="P24">
        <v>0</v>
      </c>
      <c r="Q24">
        <v>1</v>
      </c>
      <c r="R24">
        <v>1</v>
      </c>
      <c r="S24">
        <v>0</v>
      </c>
      <c r="T24">
        <v>0</v>
      </c>
      <c r="U24">
        <v>1</v>
      </c>
      <c r="V24">
        <v>0</v>
      </c>
      <c r="W24">
        <f t="shared" si="0"/>
        <v>15</v>
      </c>
      <c r="X24">
        <f t="shared" si="1"/>
        <v>1</v>
      </c>
    </row>
    <row r="25" spans="1:24">
      <c r="A25" t="s">
        <v>24</v>
      </c>
      <c r="B25">
        <v>1</v>
      </c>
      <c r="C25">
        <v>0</v>
      </c>
      <c r="D25">
        <v>0</v>
      </c>
      <c r="E25">
        <v>0</v>
      </c>
      <c r="F25">
        <v>1</v>
      </c>
      <c r="G25">
        <v>0</v>
      </c>
      <c r="H25">
        <v>0</v>
      </c>
      <c r="I25">
        <v>1</v>
      </c>
      <c r="J25">
        <v>0</v>
      </c>
      <c r="K25">
        <v>0</v>
      </c>
      <c r="L25">
        <v>0</v>
      </c>
      <c r="M25">
        <v>1</v>
      </c>
      <c r="N25">
        <v>0</v>
      </c>
      <c r="O25">
        <v>0</v>
      </c>
      <c r="P25">
        <v>0</v>
      </c>
      <c r="Q25">
        <v>0</v>
      </c>
      <c r="R25">
        <v>1</v>
      </c>
      <c r="S25">
        <v>0</v>
      </c>
      <c r="T25">
        <v>0</v>
      </c>
      <c r="U25">
        <v>0</v>
      </c>
      <c r="V25">
        <v>0</v>
      </c>
      <c r="W25">
        <f t="shared" si="0"/>
        <v>5</v>
      </c>
      <c r="X25">
        <f t="shared" si="1"/>
        <v>0</v>
      </c>
    </row>
    <row r="26" spans="1:24">
      <c r="A26" t="s">
        <v>25</v>
      </c>
      <c r="B26">
        <v>1</v>
      </c>
      <c r="C26">
        <v>1</v>
      </c>
      <c r="D26">
        <v>1</v>
      </c>
      <c r="E26">
        <v>0</v>
      </c>
      <c r="F26">
        <v>1</v>
      </c>
      <c r="G26">
        <v>0</v>
      </c>
      <c r="H26">
        <v>0</v>
      </c>
      <c r="I26">
        <v>1</v>
      </c>
      <c r="J26">
        <v>0</v>
      </c>
      <c r="K26">
        <v>0</v>
      </c>
      <c r="L26">
        <v>0</v>
      </c>
      <c r="M26">
        <v>0</v>
      </c>
      <c r="N26">
        <v>1</v>
      </c>
      <c r="O26">
        <v>1</v>
      </c>
      <c r="P26">
        <v>1</v>
      </c>
      <c r="Q26">
        <v>0</v>
      </c>
      <c r="R26">
        <v>0</v>
      </c>
      <c r="S26">
        <v>1</v>
      </c>
      <c r="T26">
        <v>0</v>
      </c>
      <c r="U26">
        <v>0</v>
      </c>
      <c r="V26">
        <v>0</v>
      </c>
      <c r="W26">
        <f t="shared" si="0"/>
        <v>9</v>
      </c>
      <c r="X26">
        <f t="shared" si="1"/>
        <v>0</v>
      </c>
    </row>
    <row r="27" spans="1:24">
      <c r="A27" t="s">
        <v>26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f t="shared" si="0"/>
        <v>0</v>
      </c>
      <c r="X27">
        <f t="shared" si="1"/>
        <v>0</v>
      </c>
    </row>
    <row r="28" spans="1:24">
      <c r="A28" t="s">
        <v>27</v>
      </c>
      <c r="B28">
        <v>0</v>
      </c>
      <c r="C28">
        <v>0</v>
      </c>
      <c r="D28">
        <v>1</v>
      </c>
      <c r="E28">
        <v>0</v>
      </c>
      <c r="F28">
        <v>1</v>
      </c>
      <c r="G28">
        <v>0</v>
      </c>
      <c r="H28">
        <v>0</v>
      </c>
      <c r="I28">
        <v>1</v>
      </c>
      <c r="J28">
        <v>0</v>
      </c>
      <c r="K28">
        <v>1</v>
      </c>
      <c r="L28">
        <v>0</v>
      </c>
      <c r="M28">
        <v>0</v>
      </c>
      <c r="N28">
        <v>1</v>
      </c>
      <c r="O28">
        <v>1</v>
      </c>
      <c r="P28">
        <v>0</v>
      </c>
      <c r="Q28">
        <v>0</v>
      </c>
      <c r="R28">
        <v>0</v>
      </c>
      <c r="S28">
        <v>1</v>
      </c>
      <c r="T28">
        <v>0</v>
      </c>
      <c r="U28">
        <v>1</v>
      </c>
      <c r="V28">
        <v>0</v>
      </c>
      <c r="W28">
        <f t="shared" si="0"/>
        <v>8</v>
      </c>
      <c r="X28">
        <f t="shared" si="1"/>
        <v>0</v>
      </c>
    </row>
    <row r="29" spans="1:24">
      <c r="A29" t="s">
        <v>28</v>
      </c>
      <c r="B29">
        <v>0</v>
      </c>
      <c r="C29">
        <v>1</v>
      </c>
      <c r="D29">
        <v>2</v>
      </c>
      <c r="E29">
        <v>0</v>
      </c>
      <c r="F29">
        <v>1</v>
      </c>
      <c r="G29">
        <v>0</v>
      </c>
      <c r="H29">
        <v>1</v>
      </c>
      <c r="I29">
        <v>1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1</v>
      </c>
      <c r="Q29">
        <v>0</v>
      </c>
      <c r="R29">
        <v>0</v>
      </c>
      <c r="S29">
        <v>0</v>
      </c>
      <c r="T29">
        <v>0</v>
      </c>
      <c r="U29">
        <v>1</v>
      </c>
      <c r="V29">
        <v>0</v>
      </c>
      <c r="W29">
        <f t="shared" si="0"/>
        <v>8</v>
      </c>
      <c r="X29">
        <f t="shared" si="1"/>
        <v>0</v>
      </c>
    </row>
    <row r="30" spans="1:24">
      <c r="A30" t="s">
        <v>29</v>
      </c>
      <c r="B30">
        <v>1</v>
      </c>
      <c r="C30">
        <v>1</v>
      </c>
      <c r="D30">
        <v>1</v>
      </c>
      <c r="E30">
        <v>0</v>
      </c>
      <c r="F30">
        <v>2</v>
      </c>
      <c r="G30">
        <v>0</v>
      </c>
      <c r="H30">
        <v>0</v>
      </c>
      <c r="I30">
        <v>1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f t="shared" si="0"/>
        <v>6</v>
      </c>
      <c r="X30">
        <f t="shared" si="1"/>
        <v>0</v>
      </c>
    </row>
    <row r="31" spans="1:24">
      <c r="A31" t="s">
        <v>30</v>
      </c>
      <c r="B31">
        <v>0</v>
      </c>
      <c r="C31">
        <v>0</v>
      </c>
      <c r="D31">
        <v>1</v>
      </c>
      <c r="E31">
        <v>1</v>
      </c>
      <c r="F31">
        <v>0</v>
      </c>
      <c r="G31">
        <v>0</v>
      </c>
      <c r="H31">
        <v>0</v>
      </c>
      <c r="I31">
        <v>1</v>
      </c>
      <c r="J31">
        <v>0</v>
      </c>
      <c r="K31">
        <v>0</v>
      </c>
      <c r="L31">
        <v>0</v>
      </c>
      <c r="M31">
        <v>1</v>
      </c>
      <c r="N31">
        <v>1</v>
      </c>
      <c r="O31">
        <v>0</v>
      </c>
      <c r="P31">
        <v>1</v>
      </c>
      <c r="Q31">
        <v>2</v>
      </c>
      <c r="R31">
        <v>2</v>
      </c>
      <c r="S31">
        <v>1</v>
      </c>
      <c r="T31">
        <v>0</v>
      </c>
      <c r="U31">
        <v>1</v>
      </c>
      <c r="V31">
        <v>0</v>
      </c>
      <c r="W31">
        <f t="shared" si="0"/>
        <v>12</v>
      </c>
      <c r="X31">
        <f t="shared" si="1"/>
        <v>0</v>
      </c>
    </row>
    <row r="32" spans="1:24">
      <c r="A32" t="s">
        <v>31</v>
      </c>
      <c r="B32">
        <v>0</v>
      </c>
      <c r="C32">
        <v>1</v>
      </c>
      <c r="D32">
        <v>1</v>
      </c>
      <c r="E32">
        <v>0</v>
      </c>
      <c r="F32">
        <v>1</v>
      </c>
      <c r="G32">
        <v>1</v>
      </c>
      <c r="H32">
        <v>1</v>
      </c>
      <c r="I32">
        <v>1</v>
      </c>
      <c r="J32">
        <v>0</v>
      </c>
      <c r="K32">
        <v>0</v>
      </c>
      <c r="L32">
        <v>1</v>
      </c>
      <c r="M32">
        <v>2</v>
      </c>
      <c r="N32">
        <v>1</v>
      </c>
      <c r="O32">
        <v>1</v>
      </c>
      <c r="P32">
        <v>1</v>
      </c>
      <c r="Q32">
        <v>0</v>
      </c>
      <c r="R32">
        <v>1</v>
      </c>
      <c r="S32">
        <v>0</v>
      </c>
      <c r="T32">
        <v>0</v>
      </c>
      <c r="U32">
        <v>0</v>
      </c>
      <c r="V32">
        <v>1</v>
      </c>
      <c r="W32">
        <f t="shared" si="0"/>
        <v>14</v>
      </c>
      <c r="X32">
        <f t="shared" si="1"/>
        <v>1</v>
      </c>
    </row>
    <row r="33" spans="1:24">
      <c r="A33" t="s">
        <v>32</v>
      </c>
      <c r="B33">
        <v>1</v>
      </c>
      <c r="C33">
        <v>1</v>
      </c>
      <c r="D33">
        <v>1</v>
      </c>
      <c r="E33">
        <v>0</v>
      </c>
      <c r="F33">
        <v>1</v>
      </c>
      <c r="G33">
        <v>1</v>
      </c>
      <c r="H33">
        <v>1</v>
      </c>
      <c r="I33">
        <v>1</v>
      </c>
      <c r="J33">
        <v>0</v>
      </c>
      <c r="K33">
        <v>1</v>
      </c>
      <c r="L33">
        <v>1</v>
      </c>
      <c r="M33">
        <v>0</v>
      </c>
      <c r="N33">
        <v>1</v>
      </c>
      <c r="O33">
        <v>1</v>
      </c>
      <c r="P33">
        <v>1</v>
      </c>
      <c r="Q33">
        <v>0</v>
      </c>
      <c r="R33">
        <v>1</v>
      </c>
      <c r="S33">
        <v>0</v>
      </c>
      <c r="T33">
        <v>0</v>
      </c>
      <c r="U33">
        <v>0</v>
      </c>
      <c r="V33">
        <v>0</v>
      </c>
      <c r="W33">
        <f t="shared" si="0"/>
        <v>13</v>
      </c>
      <c r="X33">
        <f t="shared" si="1"/>
        <v>0</v>
      </c>
    </row>
    <row r="34" spans="1:24">
      <c r="A34" t="s">
        <v>33</v>
      </c>
      <c r="B34">
        <v>1</v>
      </c>
      <c r="C34">
        <v>0</v>
      </c>
      <c r="D34">
        <v>1</v>
      </c>
      <c r="E34">
        <v>1</v>
      </c>
      <c r="F34">
        <v>1</v>
      </c>
      <c r="G34">
        <v>0</v>
      </c>
      <c r="H34">
        <v>1</v>
      </c>
      <c r="I34">
        <v>1</v>
      </c>
      <c r="J34">
        <v>0</v>
      </c>
      <c r="K34">
        <v>0</v>
      </c>
      <c r="L34">
        <v>0</v>
      </c>
      <c r="M34">
        <v>0</v>
      </c>
      <c r="N34">
        <v>1</v>
      </c>
      <c r="O34">
        <v>1</v>
      </c>
      <c r="P34">
        <v>1</v>
      </c>
      <c r="Q34">
        <v>1</v>
      </c>
      <c r="R34">
        <v>1</v>
      </c>
      <c r="S34">
        <v>0</v>
      </c>
      <c r="T34">
        <v>0</v>
      </c>
      <c r="U34">
        <v>0</v>
      </c>
      <c r="V34">
        <v>1</v>
      </c>
      <c r="W34">
        <f t="shared" si="0"/>
        <v>12</v>
      </c>
      <c r="X34">
        <f t="shared" si="1"/>
        <v>0</v>
      </c>
    </row>
    <row r="35" spans="1:24">
      <c r="A35" t="s">
        <v>34</v>
      </c>
      <c r="B35">
        <v>0</v>
      </c>
      <c r="C35">
        <v>0</v>
      </c>
      <c r="D35">
        <v>0</v>
      </c>
      <c r="E35">
        <v>0</v>
      </c>
      <c r="F35">
        <v>1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1</v>
      </c>
      <c r="N35">
        <v>0</v>
      </c>
      <c r="O35">
        <v>0</v>
      </c>
      <c r="P35">
        <v>0</v>
      </c>
      <c r="Q35">
        <v>0</v>
      </c>
      <c r="R35">
        <v>1</v>
      </c>
      <c r="S35">
        <v>0</v>
      </c>
      <c r="T35">
        <v>0</v>
      </c>
      <c r="U35">
        <v>0</v>
      </c>
      <c r="V35">
        <v>0</v>
      </c>
      <c r="W35">
        <f t="shared" si="0"/>
        <v>3</v>
      </c>
      <c r="X35">
        <f t="shared" si="1"/>
        <v>0</v>
      </c>
    </row>
    <row r="36" spans="1:24">
      <c r="A36" t="s">
        <v>35</v>
      </c>
      <c r="B36">
        <v>0</v>
      </c>
      <c r="C36">
        <v>0</v>
      </c>
      <c r="D36">
        <v>1</v>
      </c>
      <c r="E36">
        <v>0</v>
      </c>
      <c r="F36">
        <v>1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1</v>
      </c>
      <c r="O36">
        <v>0</v>
      </c>
      <c r="P36">
        <v>2</v>
      </c>
      <c r="Q36">
        <v>0</v>
      </c>
      <c r="R36">
        <v>0</v>
      </c>
      <c r="S36">
        <v>0</v>
      </c>
      <c r="T36">
        <v>1</v>
      </c>
      <c r="U36">
        <v>2</v>
      </c>
      <c r="V36">
        <v>0</v>
      </c>
      <c r="W36">
        <f t="shared" si="0"/>
        <v>8</v>
      </c>
      <c r="X36">
        <f t="shared" si="1"/>
        <v>0</v>
      </c>
    </row>
    <row r="37" spans="1:24">
      <c r="A37" t="s">
        <v>36</v>
      </c>
      <c r="B37">
        <v>0</v>
      </c>
      <c r="C37">
        <v>0</v>
      </c>
      <c r="D37">
        <v>0</v>
      </c>
      <c r="E37">
        <v>0</v>
      </c>
      <c r="F37">
        <v>1</v>
      </c>
      <c r="G37">
        <v>1</v>
      </c>
      <c r="H37">
        <v>0</v>
      </c>
      <c r="I37">
        <v>1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1</v>
      </c>
      <c r="Q37">
        <v>0</v>
      </c>
      <c r="R37">
        <v>1</v>
      </c>
      <c r="S37">
        <v>1</v>
      </c>
      <c r="T37">
        <v>0</v>
      </c>
      <c r="U37">
        <v>1</v>
      </c>
      <c r="V37">
        <v>0</v>
      </c>
      <c r="W37">
        <f t="shared" si="0"/>
        <v>7</v>
      </c>
      <c r="X37">
        <f t="shared" ref="X37:X68" si="2">IF(W37&gt;13,1,0)</f>
        <v>0</v>
      </c>
    </row>
    <row r="38" spans="1:24">
      <c r="A38" t="s">
        <v>37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f t="shared" si="0"/>
        <v>0</v>
      </c>
      <c r="X38">
        <f t="shared" si="2"/>
        <v>0</v>
      </c>
    </row>
    <row r="39" spans="1:24">
      <c r="A39" t="s">
        <v>38</v>
      </c>
      <c r="B39">
        <v>1</v>
      </c>
      <c r="C39">
        <v>1</v>
      </c>
      <c r="D39">
        <v>2</v>
      </c>
      <c r="E39">
        <v>3</v>
      </c>
      <c r="F39">
        <v>2</v>
      </c>
      <c r="G39">
        <v>2</v>
      </c>
      <c r="H39">
        <v>1</v>
      </c>
      <c r="I39">
        <v>3</v>
      </c>
      <c r="J39">
        <v>1</v>
      </c>
      <c r="K39">
        <v>0</v>
      </c>
      <c r="L39">
        <v>0</v>
      </c>
      <c r="M39">
        <v>0</v>
      </c>
      <c r="N39">
        <v>2</v>
      </c>
      <c r="O39">
        <v>2</v>
      </c>
      <c r="P39">
        <v>1</v>
      </c>
      <c r="Q39">
        <v>1</v>
      </c>
      <c r="R39">
        <v>1</v>
      </c>
      <c r="S39">
        <v>1</v>
      </c>
      <c r="T39">
        <v>1</v>
      </c>
      <c r="U39">
        <v>0</v>
      </c>
      <c r="V39">
        <v>0</v>
      </c>
      <c r="W39">
        <f t="shared" si="0"/>
        <v>25</v>
      </c>
      <c r="X39">
        <f t="shared" si="2"/>
        <v>1</v>
      </c>
    </row>
    <row r="40" spans="1:24">
      <c r="A40" t="s">
        <v>39</v>
      </c>
      <c r="B40">
        <v>0</v>
      </c>
      <c r="C40">
        <v>0</v>
      </c>
      <c r="D40">
        <v>2</v>
      </c>
      <c r="E40">
        <v>0</v>
      </c>
      <c r="F40">
        <v>0</v>
      </c>
      <c r="G40">
        <v>0</v>
      </c>
      <c r="H40">
        <v>1</v>
      </c>
      <c r="I40">
        <v>1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1</v>
      </c>
      <c r="R40">
        <v>1</v>
      </c>
      <c r="S40">
        <v>0</v>
      </c>
      <c r="T40">
        <v>0</v>
      </c>
      <c r="U40">
        <v>1</v>
      </c>
      <c r="V40">
        <v>0</v>
      </c>
      <c r="W40">
        <f t="shared" si="0"/>
        <v>7</v>
      </c>
      <c r="X40">
        <f t="shared" si="2"/>
        <v>0</v>
      </c>
    </row>
    <row r="41" spans="1:24">
      <c r="A41" t="s">
        <v>40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1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f t="shared" si="0"/>
        <v>1</v>
      </c>
      <c r="X41">
        <f t="shared" si="2"/>
        <v>0</v>
      </c>
    </row>
    <row r="42" spans="1:24">
      <c r="A42" t="s">
        <v>41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f t="shared" si="2"/>
        <v>0</v>
      </c>
    </row>
    <row r="43" spans="1:24">
      <c r="A43" t="s">
        <v>42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1</v>
      </c>
      <c r="V43">
        <v>0</v>
      </c>
      <c r="W43">
        <f t="shared" ref="W43:W103" si="3">SUM(B43:V43)</f>
        <v>1</v>
      </c>
      <c r="X43">
        <f t="shared" si="2"/>
        <v>0</v>
      </c>
    </row>
    <row r="44" spans="1:24">
      <c r="A44" t="s">
        <v>43</v>
      </c>
      <c r="B44">
        <v>1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1</v>
      </c>
      <c r="P44">
        <v>0</v>
      </c>
      <c r="Q44">
        <v>1</v>
      </c>
      <c r="R44">
        <v>1</v>
      </c>
      <c r="S44">
        <v>1</v>
      </c>
      <c r="T44">
        <v>0</v>
      </c>
      <c r="U44">
        <v>2</v>
      </c>
      <c r="V44">
        <v>1</v>
      </c>
      <c r="W44">
        <f t="shared" si="3"/>
        <v>8</v>
      </c>
      <c r="X44">
        <f t="shared" si="2"/>
        <v>0</v>
      </c>
    </row>
    <row r="45" spans="1:24">
      <c r="A45" t="s">
        <v>44</v>
      </c>
      <c r="B45">
        <v>1</v>
      </c>
      <c r="C45">
        <v>1</v>
      </c>
      <c r="D45">
        <v>1</v>
      </c>
      <c r="E45">
        <v>0</v>
      </c>
      <c r="F45">
        <v>1</v>
      </c>
      <c r="G45">
        <v>0</v>
      </c>
      <c r="H45">
        <v>0</v>
      </c>
      <c r="I45">
        <v>1</v>
      </c>
      <c r="J45">
        <v>0</v>
      </c>
      <c r="K45">
        <v>0</v>
      </c>
      <c r="L45">
        <v>0</v>
      </c>
      <c r="M45">
        <v>0</v>
      </c>
      <c r="N45">
        <v>1</v>
      </c>
      <c r="O45">
        <v>0</v>
      </c>
      <c r="P45">
        <v>0</v>
      </c>
      <c r="Q45">
        <v>1</v>
      </c>
      <c r="R45">
        <v>1</v>
      </c>
      <c r="S45">
        <v>1</v>
      </c>
      <c r="T45">
        <v>0</v>
      </c>
      <c r="U45">
        <v>1</v>
      </c>
      <c r="V45">
        <v>0</v>
      </c>
      <c r="W45">
        <f t="shared" si="3"/>
        <v>10</v>
      </c>
      <c r="X45">
        <f t="shared" si="2"/>
        <v>0</v>
      </c>
    </row>
    <row r="46" spans="1:24">
      <c r="A46" t="s">
        <v>45</v>
      </c>
      <c r="B46">
        <v>0</v>
      </c>
      <c r="C46">
        <v>0</v>
      </c>
      <c r="D46">
        <v>1</v>
      </c>
      <c r="E46">
        <v>0</v>
      </c>
      <c r="F46">
        <v>1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1</v>
      </c>
      <c r="N46">
        <v>0</v>
      </c>
      <c r="O46">
        <v>0</v>
      </c>
      <c r="P46">
        <v>1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f t="shared" si="3"/>
        <v>4</v>
      </c>
      <c r="X46">
        <f t="shared" si="2"/>
        <v>0</v>
      </c>
    </row>
    <row r="47" spans="1:24">
      <c r="A47" t="s">
        <v>46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f t="shared" si="3"/>
        <v>0</v>
      </c>
      <c r="X47">
        <f t="shared" si="2"/>
        <v>0</v>
      </c>
    </row>
    <row r="48" spans="1:24">
      <c r="A48" t="s">
        <v>47</v>
      </c>
      <c r="B48">
        <v>0</v>
      </c>
      <c r="C48">
        <v>0</v>
      </c>
      <c r="D48">
        <v>0</v>
      </c>
      <c r="E48">
        <v>0</v>
      </c>
      <c r="F48">
        <v>1</v>
      </c>
      <c r="G48">
        <v>0</v>
      </c>
      <c r="H48">
        <v>0</v>
      </c>
      <c r="I48">
        <v>1</v>
      </c>
      <c r="J48">
        <v>0</v>
      </c>
      <c r="K48">
        <v>0</v>
      </c>
      <c r="L48">
        <v>0</v>
      </c>
      <c r="M48">
        <v>0</v>
      </c>
      <c r="N48">
        <v>0</v>
      </c>
      <c r="O48">
        <v>2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f t="shared" si="3"/>
        <v>4</v>
      </c>
      <c r="X48">
        <f t="shared" si="2"/>
        <v>0</v>
      </c>
    </row>
    <row r="49" spans="1:24">
      <c r="A49" t="s">
        <v>48</v>
      </c>
      <c r="B49">
        <v>0</v>
      </c>
      <c r="C49">
        <v>0</v>
      </c>
      <c r="D49">
        <v>0</v>
      </c>
      <c r="E49">
        <v>0</v>
      </c>
      <c r="F49">
        <v>1</v>
      </c>
      <c r="G49">
        <v>0</v>
      </c>
      <c r="H49">
        <v>0</v>
      </c>
      <c r="I49">
        <v>0</v>
      </c>
      <c r="J49">
        <v>0</v>
      </c>
      <c r="K49">
        <v>1</v>
      </c>
      <c r="L49">
        <v>1</v>
      </c>
      <c r="M49">
        <v>0</v>
      </c>
      <c r="N49">
        <v>2</v>
      </c>
      <c r="O49">
        <v>0</v>
      </c>
      <c r="P49">
        <v>0</v>
      </c>
      <c r="Q49">
        <v>1</v>
      </c>
      <c r="R49">
        <v>1</v>
      </c>
      <c r="S49">
        <v>1</v>
      </c>
      <c r="T49">
        <v>0</v>
      </c>
      <c r="U49">
        <v>0</v>
      </c>
      <c r="V49">
        <v>0</v>
      </c>
      <c r="W49">
        <f t="shared" si="3"/>
        <v>8</v>
      </c>
      <c r="X49">
        <f t="shared" si="2"/>
        <v>0</v>
      </c>
    </row>
    <row r="50" spans="1:24">
      <c r="A50" t="s">
        <v>49</v>
      </c>
      <c r="B50">
        <v>1</v>
      </c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0</v>
      </c>
      <c r="K50">
        <v>0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0</v>
      </c>
      <c r="W50">
        <f t="shared" si="3"/>
        <v>18</v>
      </c>
      <c r="X50">
        <f t="shared" si="2"/>
        <v>1</v>
      </c>
    </row>
    <row r="51" spans="1:24">
      <c r="A51" t="s">
        <v>50</v>
      </c>
      <c r="B51">
        <v>0</v>
      </c>
      <c r="C51">
        <v>0</v>
      </c>
      <c r="D51">
        <v>0</v>
      </c>
      <c r="E51">
        <v>0</v>
      </c>
      <c r="F51">
        <v>1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1</v>
      </c>
      <c r="Q51">
        <v>0</v>
      </c>
      <c r="R51">
        <v>1</v>
      </c>
      <c r="S51">
        <v>1</v>
      </c>
      <c r="T51">
        <v>0</v>
      </c>
      <c r="U51">
        <v>0</v>
      </c>
      <c r="V51">
        <v>0</v>
      </c>
      <c r="W51">
        <f t="shared" si="3"/>
        <v>4</v>
      </c>
      <c r="X51">
        <f t="shared" si="2"/>
        <v>0</v>
      </c>
    </row>
    <row r="52" spans="1:24">
      <c r="A52" t="s">
        <v>51</v>
      </c>
      <c r="B52">
        <v>0</v>
      </c>
      <c r="C52">
        <v>0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0</v>
      </c>
      <c r="L52">
        <v>0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0</v>
      </c>
      <c r="U52">
        <v>0</v>
      </c>
      <c r="V52">
        <v>0</v>
      </c>
      <c r="W52">
        <f t="shared" si="3"/>
        <v>14</v>
      </c>
      <c r="X52">
        <f t="shared" si="2"/>
        <v>1</v>
      </c>
    </row>
    <row r="53" spans="1:24">
      <c r="A53" t="s">
        <v>52</v>
      </c>
      <c r="B53">
        <v>1</v>
      </c>
      <c r="C53">
        <v>0</v>
      </c>
      <c r="D53">
        <v>2</v>
      </c>
      <c r="E53">
        <v>1</v>
      </c>
      <c r="F53">
        <v>1</v>
      </c>
      <c r="G53">
        <v>0</v>
      </c>
      <c r="H53">
        <v>1</v>
      </c>
      <c r="I53">
        <v>2</v>
      </c>
      <c r="J53">
        <v>0</v>
      </c>
      <c r="K53">
        <v>0</v>
      </c>
      <c r="L53">
        <v>0</v>
      </c>
      <c r="M53">
        <v>2</v>
      </c>
      <c r="N53">
        <v>1</v>
      </c>
      <c r="O53">
        <v>1</v>
      </c>
      <c r="P53">
        <v>2</v>
      </c>
      <c r="Q53">
        <v>1</v>
      </c>
      <c r="R53">
        <v>1</v>
      </c>
      <c r="S53">
        <v>0</v>
      </c>
      <c r="T53">
        <v>0</v>
      </c>
      <c r="U53">
        <v>0</v>
      </c>
      <c r="V53">
        <v>0</v>
      </c>
      <c r="W53">
        <f t="shared" si="3"/>
        <v>16</v>
      </c>
      <c r="X53">
        <f t="shared" si="2"/>
        <v>1</v>
      </c>
    </row>
    <row r="54" spans="1:24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f t="shared" si="3"/>
        <v>0</v>
      </c>
      <c r="X54">
        <f t="shared" si="2"/>
        <v>0</v>
      </c>
    </row>
    <row r="55" spans="1:24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2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f t="shared" si="3"/>
        <v>2</v>
      </c>
      <c r="X55">
        <f t="shared" si="2"/>
        <v>0</v>
      </c>
    </row>
    <row r="56" spans="1:24">
      <c r="A56" t="s">
        <v>55</v>
      </c>
      <c r="B56">
        <v>1</v>
      </c>
      <c r="C56">
        <v>1</v>
      </c>
      <c r="D56">
        <v>1</v>
      </c>
      <c r="E56">
        <v>0</v>
      </c>
      <c r="F56">
        <v>2</v>
      </c>
      <c r="G56">
        <v>0</v>
      </c>
      <c r="H56">
        <v>0</v>
      </c>
      <c r="I56">
        <v>2</v>
      </c>
      <c r="J56">
        <v>0</v>
      </c>
      <c r="K56">
        <v>0</v>
      </c>
      <c r="L56">
        <v>0</v>
      </c>
      <c r="M56">
        <v>0</v>
      </c>
      <c r="N56">
        <v>2</v>
      </c>
      <c r="O56">
        <v>0</v>
      </c>
      <c r="P56">
        <v>1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f t="shared" si="3"/>
        <v>10</v>
      </c>
      <c r="X56">
        <f t="shared" si="2"/>
        <v>0</v>
      </c>
    </row>
    <row r="57" spans="1:24">
      <c r="A57" t="s">
        <v>56</v>
      </c>
      <c r="B57">
        <v>0</v>
      </c>
      <c r="C57">
        <v>2</v>
      </c>
      <c r="D57">
        <v>0</v>
      </c>
      <c r="E57">
        <v>0</v>
      </c>
      <c r="F57">
        <v>0</v>
      </c>
      <c r="G57">
        <v>0</v>
      </c>
      <c r="H57">
        <v>0</v>
      </c>
      <c r="I57">
        <v>1</v>
      </c>
      <c r="J57">
        <v>0</v>
      </c>
      <c r="K57">
        <v>0</v>
      </c>
      <c r="L57">
        <v>0</v>
      </c>
      <c r="M57">
        <v>1</v>
      </c>
      <c r="N57">
        <v>1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f t="shared" si="3"/>
        <v>5</v>
      </c>
      <c r="X57">
        <f t="shared" si="2"/>
        <v>0</v>
      </c>
    </row>
    <row r="58" spans="1:24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1</v>
      </c>
      <c r="O58">
        <v>1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f t="shared" si="3"/>
        <v>2</v>
      </c>
      <c r="X58">
        <f t="shared" si="2"/>
        <v>0</v>
      </c>
    </row>
    <row r="59" spans="1:24">
      <c r="A59" t="s">
        <v>58</v>
      </c>
      <c r="B59">
        <v>1</v>
      </c>
      <c r="C59">
        <v>1</v>
      </c>
      <c r="D59">
        <v>1</v>
      </c>
      <c r="E59">
        <v>0</v>
      </c>
      <c r="F59">
        <v>0</v>
      </c>
      <c r="G59">
        <v>0</v>
      </c>
      <c r="H59">
        <v>1</v>
      </c>
      <c r="I59">
        <v>1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f t="shared" si="3"/>
        <v>5</v>
      </c>
      <c r="X59">
        <f t="shared" si="2"/>
        <v>0</v>
      </c>
    </row>
    <row r="60" spans="1:24">
      <c r="A60" t="s">
        <v>59</v>
      </c>
      <c r="B60">
        <v>0</v>
      </c>
      <c r="C60">
        <v>2</v>
      </c>
      <c r="D60">
        <v>0</v>
      </c>
      <c r="E60">
        <v>0</v>
      </c>
      <c r="F60">
        <v>0</v>
      </c>
      <c r="G60">
        <v>0</v>
      </c>
      <c r="H60">
        <v>1</v>
      </c>
      <c r="I60">
        <v>1</v>
      </c>
      <c r="J60">
        <v>1</v>
      </c>
      <c r="K60">
        <v>0</v>
      </c>
      <c r="L60">
        <v>0</v>
      </c>
      <c r="M60">
        <v>3</v>
      </c>
      <c r="N60">
        <v>1</v>
      </c>
      <c r="O60">
        <v>0</v>
      </c>
      <c r="P60">
        <v>2</v>
      </c>
      <c r="Q60">
        <v>0</v>
      </c>
      <c r="R60">
        <v>1</v>
      </c>
      <c r="S60">
        <v>0</v>
      </c>
      <c r="T60">
        <v>0</v>
      </c>
      <c r="U60">
        <v>0</v>
      </c>
      <c r="V60">
        <v>0</v>
      </c>
      <c r="W60">
        <f t="shared" si="3"/>
        <v>12</v>
      </c>
      <c r="X60">
        <f t="shared" si="2"/>
        <v>0</v>
      </c>
    </row>
    <row r="61" spans="1:24">
      <c r="A61" t="s">
        <v>60</v>
      </c>
      <c r="B61">
        <v>0</v>
      </c>
      <c r="C61">
        <v>0</v>
      </c>
      <c r="D61">
        <v>1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1</v>
      </c>
      <c r="N61">
        <v>1</v>
      </c>
      <c r="O61">
        <v>0</v>
      </c>
      <c r="P61">
        <v>0</v>
      </c>
      <c r="Q61">
        <v>1</v>
      </c>
      <c r="R61">
        <v>0</v>
      </c>
      <c r="S61">
        <v>0</v>
      </c>
      <c r="T61">
        <v>0</v>
      </c>
      <c r="U61">
        <v>0</v>
      </c>
      <c r="V61">
        <v>0</v>
      </c>
      <c r="W61">
        <f t="shared" si="3"/>
        <v>4</v>
      </c>
      <c r="X61">
        <f t="shared" si="2"/>
        <v>0</v>
      </c>
    </row>
    <row r="62" spans="1:24">
      <c r="A62" t="s">
        <v>61</v>
      </c>
      <c r="B62">
        <v>0</v>
      </c>
      <c r="C62">
        <v>0</v>
      </c>
      <c r="D62">
        <v>1</v>
      </c>
      <c r="E62">
        <v>0</v>
      </c>
      <c r="F62">
        <v>1</v>
      </c>
      <c r="G62">
        <v>0</v>
      </c>
      <c r="H62">
        <v>1</v>
      </c>
      <c r="I62">
        <v>0</v>
      </c>
      <c r="J62">
        <v>0</v>
      </c>
      <c r="K62">
        <v>0</v>
      </c>
      <c r="L62">
        <v>0</v>
      </c>
      <c r="M62">
        <v>0</v>
      </c>
      <c r="N62">
        <v>1</v>
      </c>
      <c r="O62">
        <v>0</v>
      </c>
      <c r="P62">
        <v>2</v>
      </c>
      <c r="Q62">
        <v>0</v>
      </c>
      <c r="R62">
        <v>1</v>
      </c>
      <c r="S62">
        <v>0</v>
      </c>
      <c r="T62">
        <v>0</v>
      </c>
      <c r="U62">
        <v>0</v>
      </c>
      <c r="V62">
        <v>0</v>
      </c>
      <c r="W62">
        <f t="shared" si="3"/>
        <v>7</v>
      </c>
      <c r="X62">
        <f t="shared" si="2"/>
        <v>0</v>
      </c>
    </row>
    <row r="63" spans="1:24">
      <c r="A63" t="s">
        <v>62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1</v>
      </c>
      <c r="O63">
        <v>0</v>
      </c>
      <c r="P63">
        <v>0</v>
      </c>
      <c r="Q63">
        <v>1</v>
      </c>
      <c r="R63">
        <v>0</v>
      </c>
      <c r="S63">
        <v>0</v>
      </c>
      <c r="T63">
        <v>0</v>
      </c>
      <c r="U63">
        <v>0</v>
      </c>
      <c r="V63">
        <v>0</v>
      </c>
      <c r="W63">
        <f t="shared" si="3"/>
        <v>2</v>
      </c>
      <c r="X63">
        <f t="shared" si="2"/>
        <v>0</v>
      </c>
    </row>
    <row r="64" spans="1:24">
      <c r="A64" t="s">
        <v>63</v>
      </c>
      <c r="B64">
        <v>1</v>
      </c>
      <c r="C64">
        <v>1</v>
      </c>
      <c r="D64">
        <v>0</v>
      </c>
      <c r="E64">
        <v>1</v>
      </c>
      <c r="F64">
        <v>1</v>
      </c>
      <c r="G64">
        <v>1</v>
      </c>
      <c r="H64">
        <v>0</v>
      </c>
      <c r="I64">
        <v>0</v>
      </c>
      <c r="J64">
        <v>0</v>
      </c>
      <c r="K64">
        <v>1</v>
      </c>
      <c r="L64">
        <v>0</v>
      </c>
      <c r="M64">
        <v>0</v>
      </c>
      <c r="N64">
        <v>0</v>
      </c>
      <c r="O64">
        <v>0</v>
      </c>
      <c r="P64">
        <v>0</v>
      </c>
      <c r="Q64">
        <v>1</v>
      </c>
      <c r="R64">
        <v>1</v>
      </c>
      <c r="S64">
        <v>0</v>
      </c>
      <c r="T64">
        <v>2</v>
      </c>
      <c r="U64">
        <v>0</v>
      </c>
      <c r="V64">
        <v>0</v>
      </c>
      <c r="W64">
        <f t="shared" si="3"/>
        <v>10</v>
      </c>
      <c r="X64">
        <f t="shared" si="2"/>
        <v>0</v>
      </c>
    </row>
    <row r="65" spans="1:24">
      <c r="A65" t="s">
        <v>64</v>
      </c>
      <c r="B65">
        <v>1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0</v>
      </c>
      <c r="L65">
        <v>0</v>
      </c>
      <c r="M65">
        <v>0</v>
      </c>
      <c r="N65">
        <v>1</v>
      </c>
      <c r="O65">
        <v>0</v>
      </c>
      <c r="P65">
        <v>1</v>
      </c>
      <c r="Q65">
        <v>1</v>
      </c>
      <c r="R65">
        <v>0</v>
      </c>
      <c r="S65">
        <v>1</v>
      </c>
      <c r="T65">
        <v>1</v>
      </c>
      <c r="U65">
        <v>1</v>
      </c>
      <c r="V65">
        <v>1</v>
      </c>
      <c r="W65">
        <f t="shared" si="3"/>
        <v>16</v>
      </c>
      <c r="X65">
        <f t="shared" si="2"/>
        <v>1</v>
      </c>
    </row>
    <row r="66" spans="1:24">
      <c r="A66" t="s">
        <v>65</v>
      </c>
      <c r="B66">
        <v>0</v>
      </c>
      <c r="C66">
        <v>1</v>
      </c>
      <c r="D66">
        <v>1</v>
      </c>
      <c r="E66">
        <v>0</v>
      </c>
      <c r="F66">
        <v>1</v>
      </c>
      <c r="G66">
        <v>0</v>
      </c>
      <c r="H66">
        <v>1</v>
      </c>
      <c r="I66">
        <v>0</v>
      </c>
      <c r="J66">
        <v>0</v>
      </c>
      <c r="K66">
        <v>0</v>
      </c>
      <c r="L66">
        <v>0</v>
      </c>
      <c r="M66">
        <v>1</v>
      </c>
      <c r="N66">
        <v>2</v>
      </c>
      <c r="O66">
        <v>0</v>
      </c>
      <c r="P66">
        <v>1</v>
      </c>
      <c r="Q66">
        <v>1</v>
      </c>
      <c r="R66">
        <v>1</v>
      </c>
      <c r="S66">
        <v>0</v>
      </c>
      <c r="T66">
        <v>0</v>
      </c>
      <c r="U66">
        <v>0</v>
      </c>
      <c r="V66">
        <v>0</v>
      </c>
      <c r="W66">
        <f t="shared" si="3"/>
        <v>10</v>
      </c>
      <c r="X66">
        <f t="shared" si="2"/>
        <v>0</v>
      </c>
    </row>
    <row r="67" spans="1:24">
      <c r="A67" t="s">
        <v>66</v>
      </c>
      <c r="B67">
        <v>0</v>
      </c>
      <c r="C67">
        <v>0</v>
      </c>
      <c r="D67">
        <v>1</v>
      </c>
      <c r="E67">
        <v>0</v>
      </c>
      <c r="F67">
        <v>1</v>
      </c>
      <c r="G67">
        <v>1</v>
      </c>
      <c r="H67">
        <v>1</v>
      </c>
      <c r="I67">
        <v>1</v>
      </c>
      <c r="J67">
        <v>0</v>
      </c>
      <c r="K67">
        <v>0</v>
      </c>
      <c r="L67">
        <v>1</v>
      </c>
      <c r="M67">
        <v>0</v>
      </c>
      <c r="N67">
        <v>1</v>
      </c>
      <c r="O67">
        <v>2</v>
      </c>
      <c r="P67">
        <v>1</v>
      </c>
      <c r="Q67">
        <v>0</v>
      </c>
      <c r="R67">
        <v>1</v>
      </c>
      <c r="S67">
        <v>0</v>
      </c>
      <c r="T67">
        <v>1</v>
      </c>
      <c r="U67">
        <v>0</v>
      </c>
      <c r="V67">
        <v>0</v>
      </c>
      <c r="W67">
        <f t="shared" si="3"/>
        <v>12</v>
      </c>
      <c r="X67">
        <f t="shared" si="2"/>
        <v>0</v>
      </c>
    </row>
    <row r="68" spans="1:24">
      <c r="A68" t="s">
        <v>67</v>
      </c>
      <c r="B68">
        <v>1</v>
      </c>
      <c r="C68">
        <v>1</v>
      </c>
      <c r="D68">
        <v>1</v>
      </c>
      <c r="E68">
        <v>1</v>
      </c>
      <c r="F68">
        <v>1</v>
      </c>
      <c r="G68">
        <v>0</v>
      </c>
      <c r="H68">
        <v>1</v>
      </c>
      <c r="I68">
        <v>1</v>
      </c>
      <c r="J68">
        <v>0</v>
      </c>
      <c r="K68">
        <v>0</v>
      </c>
      <c r="L68">
        <v>0</v>
      </c>
      <c r="M68">
        <v>0</v>
      </c>
      <c r="N68">
        <v>1</v>
      </c>
      <c r="O68">
        <v>2</v>
      </c>
      <c r="P68">
        <v>1</v>
      </c>
      <c r="Q68">
        <v>0</v>
      </c>
      <c r="R68">
        <v>1</v>
      </c>
      <c r="S68">
        <v>0</v>
      </c>
      <c r="T68">
        <v>0</v>
      </c>
      <c r="U68">
        <v>1</v>
      </c>
      <c r="V68">
        <v>1</v>
      </c>
      <c r="W68">
        <f t="shared" si="3"/>
        <v>14</v>
      </c>
      <c r="X68">
        <f t="shared" si="2"/>
        <v>1</v>
      </c>
    </row>
    <row r="69" spans="1:24">
      <c r="A69" t="s">
        <v>68</v>
      </c>
      <c r="B69">
        <v>0</v>
      </c>
      <c r="C69">
        <v>1</v>
      </c>
      <c r="D69">
        <v>0</v>
      </c>
      <c r="E69">
        <v>0</v>
      </c>
      <c r="F69">
        <v>1</v>
      </c>
      <c r="G69">
        <v>0</v>
      </c>
      <c r="H69">
        <v>1</v>
      </c>
      <c r="I69">
        <v>1</v>
      </c>
      <c r="J69">
        <v>0</v>
      </c>
      <c r="K69">
        <v>0</v>
      </c>
      <c r="L69">
        <v>1</v>
      </c>
      <c r="M69">
        <v>0</v>
      </c>
      <c r="N69">
        <v>0</v>
      </c>
      <c r="O69">
        <v>1</v>
      </c>
      <c r="P69">
        <v>1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f t="shared" si="3"/>
        <v>7</v>
      </c>
      <c r="X69">
        <f>IF(W69&gt;13,1,0)</f>
        <v>0</v>
      </c>
    </row>
    <row r="70" spans="1:24">
      <c r="A70" t="s">
        <v>69</v>
      </c>
      <c r="B70">
        <v>0</v>
      </c>
      <c r="C70">
        <v>0</v>
      </c>
      <c r="D70">
        <v>0</v>
      </c>
      <c r="E70">
        <v>0</v>
      </c>
      <c r="F70">
        <v>1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1</v>
      </c>
      <c r="W70">
        <f t="shared" si="3"/>
        <v>2</v>
      </c>
      <c r="X70">
        <f>IF(W70&gt;13,1,0)</f>
        <v>0</v>
      </c>
    </row>
    <row r="71" spans="1:24">
      <c r="A71" t="s">
        <v>70</v>
      </c>
      <c r="B71">
        <v>1</v>
      </c>
      <c r="C71">
        <v>1</v>
      </c>
      <c r="D71">
        <v>2</v>
      </c>
      <c r="E71">
        <v>1</v>
      </c>
      <c r="F71">
        <v>1</v>
      </c>
      <c r="G71">
        <v>1</v>
      </c>
      <c r="H71">
        <v>1</v>
      </c>
      <c r="I71">
        <v>0</v>
      </c>
      <c r="J71">
        <v>0</v>
      </c>
      <c r="K71">
        <v>0</v>
      </c>
      <c r="L71">
        <v>1</v>
      </c>
      <c r="M71">
        <v>0</v>
      </c>
      <c r="N71">
        <v>1</v>
      </c>
      <c r="O71">
        <v>1</v>
      </c>
      <c r="P71">
        <v>2</v>
      </c>
      <c r="Q71">
        <v>1</v>
      </c>
      <c r="R71">
        <v>1</v>
      </c>
      <c r="S71">
        <v>1</v>
      </c>
      <c r="T71">
        <v>0</v>
      </c>
      <c r="U71">
        <v>2</v>
      </c>
      <c r="V71">
        <v>0</v>
      </c>
      <c r="W71">
        <f t="shared" si="3"/>
        <v>18</v>
      </c>
      <c r="X71">
        <f>IF(W71&gt;13,1,0)</f>
        <v>1</v>
      </c>
    </row>
    <row r="72" spans="1:24">
      <c r="A72" t="s">
        <v>71</v>
      </c>
      <c r="B72">
        <v>0</v>
      </c>
      <c r="C72">
        <v>0</v>
      </c>
      <c r="D72">
        <v>1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1</v>
      </c>
      <c r="R72">
        <v>1</v>
      </c>
      <c r="S72">
        <v>0</v>
      </c>
      <c r="T72">
        <v>2</v>
      </c>
      <c r="U72">
        <v>0</v>
      </c>
      <c r="V72">
        <v>0</v>
      </c>
      <c r="W72">
        <f t="shared" si="3"/>
        <v>5</v>
      </c>
      <c r="X72">
        <f>IF(W72&gt;13,1,0)</f>
        <v>0</v>
      </c>
    </row>
    <row r="73" spans="1:24">
      <c r="A73" t="s">
        <v>164</v>
      </c>
      <c r="B73">
        <v>1</v>
      </c>
      <c r="C73">
        <v>0</v>
      </c>
      <c r="D73">
        <v>0</v>
      </c>
      <c r="E73">
        <v>0</v>
      </c>
      <c r="F73">
        <v>1</v>
      </c>
      <c r="G73">
        <v>1</v>
      </c>
      <c r="H73">
        <v>0</v>
      </c>
      <c r="I73">
        <v>2</v>
      </c>
      <c r="J73">
        <v>0</v>
      </c>
      <c r="K73">
        <v>1</v>
      </c>
      <c r="L73">
        <v>0</v>
      </c>
      <c r="M73">
        <v>0</v>
      </c>
      <c r="N73">
        <v>0</v>
      </c>
      <c r="O73">
        <v>1</v>
      </c>
      <c r="P73">
        <v>1</v>
      </c>
      <c r="Q73">
        <v>0</v>
      </c>
      <c r="R73">
        <v>1</v>
      </c>
      <c r="S73">
        <v>0</v>
      </c>
      <c r="T73">
        <v>0</v>
      </c>
      <c r="U73">
        <v>2</v>
      </c>
      <c r="V73">
        <v>0</v>
      </c>
      <c r="W73">
        <f t="shared" si="3"/>
        <v>11</v>
      </c>
      <c r="X73">
        <f t="shared" ref="X73:X104" si="4">IF(W73&gt;13,1,0)</f>
        <v>0</v>
      </c>
    </row>
    <row r="74" spans="1:24">
      <c r="A74" t="s">
        <v>165</v>
      </c>
      <c r="B74">
        <v>1</v>
      </c>
      <c r="C74">
        <v>1</v>
      </c>
      <c r="D74">
        <v>0</v>
      </c>
      <c r="E74">
        <v>0</v>
      </c>
      <c r="F74">
        <v>0</v>
      </c>
      <c r="G74">
        <v>0</v>
      </c>
      <c r="H74">
        <v>1</v>
      </c>
      <c r="I74">
        <v>0</v>
      </c>
      <c r="J74">
        <v>0</v>
      </c>
      <c r="K74">
        <v>0</v>
      </c>
      <c r="L74">
        <v>0</v>
      </c>
      <c r="M74">
        <v>0</v>
      </c>
      <c r="N74">
        <v>1</v>
      </c>
      <c r="O74">
        <v>0</v>
      </c>
      <c r="P74">
        <v>0</v>
      </c>
      <c r="Q74">
        <v>1</v>
      </c>
      <c r="R74">
        <v>1</v>
      </c>
      <c r="S74">
        <v>1</v>
      </c>
      <c r="T74">
        <v>3</v>
      </c>
      <c r="U74">
        <v>0</v>
      </c>
      <c r="V74">
        <v>0</v>
      </c>
      <c r="W74">
        <f t="shared" si="3"/>
        <v>10</v>
      </c>
      <c r="X74">
        <f t="shared" si="4"/>
        <v>0</v>
      </c>
    </row>
    <row r="75" spans="1:24">
      <c r="A75" t="s">
        <v>166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f t="shared" si="3"/>
        <v>0</v>
      </c>
      <c r="X75">
        <f t="shared" si="4"/>
        <v>0</v>
      </c>
    </row>
    <row r="76" spans="1:24">
      <c r="A76" t="s">
        <v>167</v>
      </c>
      <c r="B76">
        <v>0</v>
      </c>
      <c r="C76">
        <v>0</v>
      </c>
      <c r="D76">
        <v>2</v>
      </c>
      <c r="E76">
        <v>1</v>
      </c>
      <c r="F76">
        <v>1</v>
      </c>
      <c r="G76">
        <v>1</v>
      </c>
      <c r="H76">
        <v>1</v>
      </c>
      <c r="I76">
        <v>2</v>
      </c>
      <c r="J76">
        <v>0</v>
      </c>
      <c r="K76">
        <v>3</v>
      </c>
      <c r="L76">
        <v>1</v>
      </c>
      <c r="M76">
        <v>0</v>
      </c>
      <c r="N76">
        <v>2</v>
      </c>
      <c r="O76">
        <v>1</v>
      </c>
      <c r="P76">
        <v>1</v>
      </c>
      <c r="Q76">
        <v>0</v>
      </c>
      <c r="R76">
        <v>1</v>
      </c>
      <c r="S76">
        <v>1</v>
      </c>
      <c r="T76">
        <v>0</v>
      </c>
      <c r="U76">
        <v>1</v>
      </c>
      <c r="V76">
        <v>0</v>
      </c>
      <c r="W76">
        <f t="shared" si="3"/>
        <v>19</v>
      </c>
      <c r="X76">
        <f t="shared" si="4"/>
        <v>1</v>
      </c>
    </row>
    <row r="77" spans="1:24">
      <c r="A77" t="s">
        <v>168</v>
      </c>
      <c r="B77">
        <v>0</v>
      </c>
      <c r="C77">
        <v>0</v>
      </c>
      <c r="D77">
        <v>0</v>
      </c>
      <c r="E77">
        <v>1</v>
      </c>
      <c r="F77">
        <v>1</v>
      </c>
      <c r="G77">
        <v>0</v>
      </c>
      <c r="H77">
        <v>0</v>
      </c>
      <c r="I77">
        <v>0</v>
      </c>
      <c r="J77">
        <v>0</v>
      </c>
      <c r="K77">
        <v>0</v>
      </c>
      <c r="L77">
        <v>1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f t="shared" si="3"/>
        <v>3</v>
      </c>
      <c r="X77">
        <f t="shared" si="4"/>
        <v>0</v>
      </c>
    </row>
    <row r="78" spans="1:24">
      <c r="A78" t="s">
        <v>169</v>
      </c>
      <c r="B78">
        <v>0</v>
      </c>
      <c r="C78">
        <v>1</v>
      </c>
      <c r="D78">
        <v>1</v>
      </c>
      <c r="E78">
        <v>0</v>
      </c>
      <c r="F78">
        <v>2</v>
      </c>
      <c r="G78">
        <v>1</v>
      </c>
      <c r="H78">
        <v>0</v>
      </c>
      <c r="I78">
        <v>1</v>
      </c>
      <c r="J78">
        <v>0</v>
      </c>
      <c r="K78">
        <v>0</v>
      </c>
      <c r="L78">
        <v>0</v>
      </c>
      <c r="M78">
        <v>0</v>
      </c>
      <c r="N78">
        <v>1</v>
      </c>
      <c r="O78">
        <v>1</v>
      </c>
      <c r="P78">
        <v>2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f t="shared" si="3"/>
        <v>10</v>
      </c>
      <c r="X78">
        <f t="shared" si="4"/>
        <v>0</v>
      </c>
    </row>
    <row r="79" spans="1:24">
      <c r="A79" t="s">
        <v>170</v>
      </c>
      <c r="B79">
        <v>0</v>
      </c>
      <c r="C79">
        <v>0</v>
      </c>
      <c r="D79">
        <v>1</v>
      </c>
      <c r="E79">
        <v>0</v>
      </c>
      <c r="F79">
        <v>1</v>
      </c>
      <c r="G79">
        <v>0</v>
      </c>
      <c r="H79">
        <v>1</v>
      </c>
      <c r="I79">
        <v>0</v>
      </c>
      <c r="J79">
        <v>0</v>
      </c>
      <c r="K79">
        <v>0</v>
      </c>
      <c r="L79">
        <v>0</v>
      </c>
      <c r="M79">
        <v>0</v>
      </c>
      <c r="N79">
        <v>1</v>
      </c>
      <c r="O79">
        <v>0</v>
      </c>
      <c r="P79">
        <v>1</v>
      </c>
      <c r="Q79">
        <v>0</v>
      </c>
      <c r="R79">
        <v>1</v>
      </c>
      <c r="S79">
        <v>0</v>
      </c>
      <c r="T79">
        <v>0</v>
      </c>
      <c r="U79">
        <v>0</v>
      </c>
      <c r="V79">
        <v>0</v>
      </c>
      <c r="W79">
        <f t="shared" si="3"/>
        <v>6</v>
      </c>
      <c r="X79">
        <f t="shared" si="4"/>
        <v>0</v>
      </c>
    </row>
    <row r="80" spans="1:24">
      <c r="A80" t="s">
        <v>171</v>
      </c>
      <c r="B80">
        <v>0</v>
      </c>
      <c r="C80">
        <v>0</v>
      </c>
      <c r="D80">
        <v>0</v>
      </c>
      <c r="E80">
        <v>0</v>
      </c>
      <c r="F80">
        <v>1</v>
      </c>
      <c r="G80">
        <v>0</v>
      </c>
      <c r="H80">
        <v>0</v>
      </c>
      <c r="I80">
        <v>0</v>
      </c>
      <c r="J80">
        <v>0</v>
      </c>
      <c r="K80">
        <v>0</v>
      </c>
      <c r="L80">
        <v>1</v>
      </c>
      <c r="M80">
        <v>0</v>
      </c>
      <c r="N80">
        <v>0</v>
      </c>
      <c r="O80">
        <v>0</v>
      </c>
      <c r="P80">
        <v>0</v>
      </c>
      <c r="Q80">
        <v>1</v>
      </c>
      <c r="R80">
        <v>0</v>
      </c>
      <c r="S80">
        <v>0</v>
      </c>
      <c r="T80">
        <v>0</v>
      </c>
      <c r="U80">
        <v>0</v>
      </c>
      <c r="V80">
        <v>0</v>
      </c>
      <c r="W80">
        <f t="shared" si="3"/>
        <v>3</v>
      </c>
      <c r="X80">
        <f t="shared" si="4"/>
        <v>0</v>
      </c>
    </row>
    <row r="81" spans="1:24">
      <c r="A81" t="s">
        <v>172</v>
      </c>
      <c r="B81">
        <v>1</v>
      </c>
      <c r="C81">
        <v>1</v>
      </c>
      <c r="D81">
        <v>2</v>
      </c>
      <c r="E81">
        <v>0</v>
      </c>
      <c r="F81">
        <v>1</v>
      </c>
      <c r="G81">
        <v>0</v>
      </c>
      <c r="H81">
        <v>1</v>
      </c>
      <c r="I81">
        <v>0</v>
      </c>
      <c r="J81">
        <v>0</v>
      </c>
      <c r="K81">
        <v>0</v>
      </c>
      <c r="L81">
        <v>1</v>
      </c>
      <c r="M81">
        <v>0</v>
      </c>
      <c r="N81">
        <v>2</v>
      </c>
      <c r="O81">
        <v>3</v>
      </c>
      <c r="P81">
        <v>1</v>
      </c>
      <c r="Q81">
        <v>0</v>
      </c>
      <c r="R81">
        <v>1</v>
      </c>
      <c r="S81">
        <v>0</v>
      </c>
      <c r="T81">
        <v>0</v>
      </c>
      <c r="U81">
        <v>0</v>
      </c>
      <c r="V81">
        <v>0</v>
      </c>
      <c r="W81">
        <f t="shared" si="3"/>
        <v>14</v>
      </c>
      <c r="X81">
        <f t="shared" si="4"/>
        <v>1</v>
      </c>
    </row>
    <row r="82" spans="1:24">
      <c r="A82" t="s">
        <v>173</v>
      </c>
      <c r="B82">
        <v>0</v>
      </c>
      <c r="C82">
        <v>0</v>
      </c>
      <c r="D82">
        <v>1</v>
      </c>
      <c r="E82">
        <v>1</v>
      </c>
      <c r="F82">
        <v>1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1</v>
      </c>
      <c r="N82">
        <v>2</v>
      </c>
      <c r="O82">
        <v>0</v>
      </c>
      <c r="P82">
        <v>1</v>
      </c>
      <c r="Q82">
        <v>1</v>
      </c>
      <c r="R82">
        <v>0</v>
      </c>
      <c r="S82">
        <v>0</v>
      </c>
      <c r="T82">
        <v>0</v>
      </c>
      <c r="U82">
        <v>0</v>
      </c>
      <c r="V82">
        <v>0</v>
      </c>
      <c r="W82">
        <f t="shared" si="3"/>
        <v>8</v>
      </c>
      <c r="X82">
        <f t="shared" si="4"/>
        <v>0</v>
      </c>
    </row>
    <row r="83" spans="1:24">
      <c r="A83" t="s">
        <v>174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1</v>
      </c>
      <c r="I83">
        <v>0</v>
      </c>
      <c r="J83">
        <v>0</v>
      </c>
      <c r="K83">
        <v>0</v>
      </c>
      <c r="L83">
        <v>1</v>
      </c>
      <c r="M83">
        <v>1</v>
      </c>
      <c r="N83">
        <v>1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f t="shared" si="3"/>
        <v>4</v>
      </c>
      <c r="X83">
        <f t="shared" si="4"/>
        <v>0</v>
      </c>
    </row>
    <row r="84" spans="1:24">
      <c r="A84" t="s">
        <v>175</v>
      </c>
      <c r="B84">
        <v>0</v>
      </c>
      <c r="C84">
        <v>1</v>
      </c>
      <c r="D84">
        <v>0</v>
      </c>
      <c r="E84">
        <v>0</v>
      </c>
      <c r="F84">
        <v>1</v>
      </c>
      <c r="G84">
        <v>0</v>
      </c>
      <c r="H84">
        <v>1</v>
      </c>
      <c r="I84">
        <v>1</v>
      </c>
      <c r="J84">
        <v>0</v>
      </c>
      <c r="K84">
        <v>0</v>
      </c>
      <c r="L84">
        <v>0</v>
      </c>
      <c r="M84">
        <v>1</v>
      </c>
      <c r="N84">
        <v>1</v>
      </c>
      <c r="O84">
        <v>0</v>
      </c>
      <c r="P84">
        <v>1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f t="shared" si="3"/>
        <v>7</v>
      </c>
      <c r="X84">
        <f t="shared" si="4"/>
        <v>0</v>
      </c>
    </row>
    <row r="85" spans="1:24">
      <c r="A85" t="s">
        <v>176</v>
      </c>
      <c r="B85">
        <v>0</v>
      </c>
      <c r="C85">
        <v>0</v>
      </c>
      <c r="D85">
        <v>0</v>
      </c>
      <c r="E85">
        <v>1</v>
      </c>
      <c r="F85">
        <v>1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1</v>
      </c>
      <c r="O85">
        <v>0</v>
      </c>
      <c r="P85">
        <v>0</v>
      </c>
      <c r="Q85">
        <v>0</v>
      </c>
      <c r="R85">
        <v>0</v>
      </c>
      <c r="S85">
        <v>1</v>
      </c>
      <c r="T85">
        <v>0</v>
      </c>
      <c r="U85">
        <v>0</v>
      </c>
      <c r="V85">
        <v>0</v>
      </c>
      <c r="W85">
        <f t="shared" si="3"/>
        <v>4</v>
      </c>
      <c r="X85">
        <f t="shared" si="4"/>
        <v>0</v>
      </c>
    </row>
    <row r="86" spans="1:24">
      <c r="A86" t="s">
        <v>177</v>
      </c>
      <c r="B86">
        <v>0</v>
      </c>
      <c r="C86">
        <v>1</v>
      </c>
      <c r="D86">
        <v>1</v>
      </c>
      <c r="E86">
        <v>0</v>
      </c>
      <c r="F86">
        <v>0</v>
      </c>
      <c r="G86">
        <v>0</v>
      </c>
      <c r="H86">
        <v>0</v>
      </c>
      <c r="I86">
        <v>1</v>
      </c>
      <c r="J86">
        <v>0</v>
      </c>
      <c r="K86">
        <v>0</v>
      </c>
      <c r="L86">
        <v>0</v>
      </c>
      <c r="M86">
        <v>1</v>
      </c>
      <c r="N86">
        <v>1</v>
      </c>
      <c r="O86">
        <v>1</v>
      </c>
      <c r="P86">
        <v>0</v>
      </c>
      <c r="Q86">
        <v>0</v>
      </c>
      <c r="R86">
        <v>1</v>
      </c>
      <c r="S86">
        <v>1</v>
      </c>
      <c r="T86">
        <v>1</v>
      </c>
      <c r="U86">
        <v>0</v>
      </c>
      <c r="V86">
        <v>0</v>
      </c>
      <c r="W86">
        <f t="shared" si="3"/>
        <v>9</v>
      </c>
      <c r="X86">
        <f t="shared" si="4"/>
        <v>0</v>
      </c>
    </row>
    <row r="87" spans="1:24">
      <c r="A87" t="s">
        <v>178</v>
      </c>
      <c r="B87">
        <v>0</v>
      </c>
      <c r="C87">
        <v>1</v>
      </c>
      <c r="D87">
        <v>1</v>
      </c>
      <c r="E87">
        <v>0</v>
      </c>
      <c r="F87">
        <v>1</v>
      </c>
      <c r="G87">
        <v>1</v>
      </c>
      <c r="H87">
        <v>1</v>
      </c>
      <c r="I87">
        <v>1</v>
      </c>
      <c r="J87">
        <v>0</v>
      </c>
      <c r="K87">
        <v>0</v>
      </c>
      <c r="L87">
        <v>1</v>
      </c>
      <c r="M87">
        <v>0</v>
      </c>
      <c r="N87">
        <v>1</v>
      </c>
      <c r="O87">
        <v>0</v>
      </c>
      <c r="P87">
        <v>1</v>
      </c>
      <c r="Q87">
        <v>1</v>
      </c>
      <c r="R87">
        <v>1</v>
      </c>
      <c r="S87">
        <v>0</v>
      </c>
      <c r="T87">
        <v>0</v>
      </c>
      <c r="U87">
        <v>1</v>
      </c>
      <c r="V87">
        <v>0</v>
      </c>
      <c r="W87">
        <f t="shared" si="3"/>
        <v>12</v>
      </c>
      <c r="X87">
        <f t="shared" si="4"/>
        <v>0</v>
      </c>
    </row>
    <row r="88" spans="1:24">
      <c r="A88" t="s">
        <v>179</v>
      </c>
      <c r="B88">
        <v>0</v>
      </c>
      <c r="C88">
        <v>0</v>
      </c>
      <c r="D88">
        <v>0</v>
      </c>
      <c r="E88">
        <v>0</v>
      </c>
      <c r="F88">
        <v>1</v>
      </c>
      <c r="G88">
        <v>0</v>
      </c>
      <c r="H88">
        <v>1</v>
      </c>
      <c r="I88">
        <v>0</v>
      </c>
      <c r="J88">
        <v>0</v>
      </c>
      <c r="K88">
        <v>0</v>
      </c>
      <c r="L88">
        <v>0</v>
      </c>
      <c r="M88">
        <v>0</v>
      </c>
      <c r="N88">
        <v>1</v>
      </c>
      <c r="O88">
        <v>0</v>
      </c>
      <c r="P88">
        <v>0</v>
      </c>
      <c r="Q88">
        <v>1</v>
      </c>
      <c r="R88">
        <v>1</v>
      </c>
      <c r="S88">
        <v>0</v>
      </c>
      <c r="T88">
        <v>0</v>
      </c>
      <c r="U88">
        <v>0</v>
      </c>
      <c r="V88">
        <v>0</v>
      </c>
      <c r="W88">
        <f t="shared" si="3"/>
        <v>5</v>
      </c>
      <c r="X88">
        <f t="shared" si="4"/>
        <v>0</v>
      </c>
    </row>
    <row r="89" spans="1:24">
      <c r="A89" t="s">
        <v>180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1</v>
      </c>
      <c r="M89">
        <v>0</v>
      </c>
      <c r="N89">
        <v>1</v>
      </c>
      <c r="O89">
        <v>0</v>
      </c>
      <c r="P89">
        <v>1</v>
      </c>
      <c r="Q89">
        <v>0</v>
      </c>
      <c r="R89">
        <v>1</v>
      </c>
      <c r="S89">
        <v>0</v>
      </c>
      <c r="T89">
        <v>0</v>
      </c>
      <c r="U89">
        <v>0</v>
      </c>
      <c r="V89">
        <v>0</v>
      </c>
      <c r="W89">
        <f t="shared" si="3"/>
        <v>4</v>
      </c>
      <c r="X89">
        <f t="shared" si="4"/>
        <v>0</v>
      </c>
    </row>
    <row r="90" spans="1:24">
      <c r="A90" t="s">
        <v>181</v>
      </c>
      <c r="B90">
        <v>1</v>
      </c>
      <c r="C90">
        <v>1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1</v>
      </c>
      <c r="L90">
        <v>1</v>
      </c>
      <c r="M90">
        <v>0</v>
      </c>
      <c r="N90">
        <v>2</v>
      </c>
      <c r="O90">
        <v>0</v>
      </c>
      <c r="P90">
        <v>0</v>
      </c>
      <c r="Q90">
        <v>1</v>
      </c>
      <c r="R90">
        <v>0</v>
      </c>
      <c r="S90">
        <v>0</v>
      </c>
      <c r="T90">
        <v>0</v>
      </c>
      <c r="U90">
        <v>1</v>
      </c>
      <c r="V90">
        <v>0</v>
      </c>
      <c r="W90">
        <f t="shared" si="3"/>
        <v>8</v>
      </c>
      <c r="X90">
        <f t="shared" si="4"/>
        <v>0</v>
      </c>
    </row>
    <row r="91" spans="1:24">
      <c r="A91" t="s">
        <v>182</v>
      </c>
      <c r="B91">
        <v>1</v>
      </c>
      <c r="C91">
        <v>0</v>
      </c>
      <c r="D91">
        <v>1</v>
      </c>
      <c r="E91">
        <v>1</v>
      </c>
      <c r="F91">
        <v>0</v>
      </c>
      <c r="G91">
        <v>0</v>
      </c>
      <c r="H91">
        <v>1</v>
      </c>
      <c r="I91">
        <v>2</v>
      </c>
      <c r="J91">
        <v>0</v>
      </c>
      <c r="K91">
        <v>1</v>
      </c>
      <c r="L91">
        <v>0</v>
      </c>
      <c r="M91">
        <v>0</v>
      </c>
      <c r="N91">
        <v>1</v>
      </c>
      <c r="O91">
        <v>0</v>
      </c>
      <c r="P91">
        <v>1</v>
      </c>
      <c r="Q91">
        <v>1</v>
      </c>
      <c r="R91">
        <v>1</v>
      </c>
      <c r="S91">
        <v>0</v>
      </c>
      <c r="T91">
        <v>0</v>
      </c>
      <c r="U91">
        <v>1</v>
      </c>
      <c r="V91">
        <v>0</v>
      </c>
      <c r="W91">
        <f t="shared" si="3"/>
        <v>12</v>
      </c>
      <c r="X91">
        <f t="shared" si="4"/>
        <v>0</v>
      </c>
    </row>
    <row r="92" spans="1:24">
      <c r="A92" t="s">
        <v>183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1</v>
      </c>
      <c r="O92">
        <v>0</v>
      </c>
      <c r="P92">
        <v>1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f t="shared" si="3"/>
        <v>2</v>
      </c>
      <c r="X92">
        <f t="shared" si="4"/>
        <v>0</v>
      </c>
    </row>
    <row r="93" spans="1:24">
      <c r="A93" t="s">
        <v>184</v>
      </c>
      <c r="B93">
        <v>1</v>
      </c>
      <c r="C93">
        <v>1</v>
      </c>
      <c r="D93">
        <v>0</v>
      </c>
      <c r="E93">
        <v>1</v>
      </c>
      <c r="F93">
        <v>1</v>
      </c>
      <c r="G93">
        <v>0</v>
      </c>
      <c r="H93">
        <v>0</v>
      </c>
      <c r="I93">
        <v>0</v>
      </c>
      <c r="J93">
        <v>1</v>
      </c>
      <c r="K93">
        <v>0</v>
      </c>
      <c r="L93">
        <v>0</v>
      </c>
      <c r="M93">
        <v>0</v>
      </c>
      <c r="N93">
        <v>1</v>
      </c>
      <c r="O93">
        <v>0</v>
      </c>
      <c r="P93">
        <v>1</v>
      </c>
      <c r="Q93">
        <v>1</v>
      </c>
      <c r="R93">
        <v>1</v>
      </c>
      <c r="S93">
        <v>0</v>
      </c>
      <c r="T93">
        <v>0</v>
      </c>
      <c r="U93">
        <v>0</v>
      </c>
      <c r="V93">
        <v>0</v>
      </c>
      <c r="W93">
        <f t="shared" si="3"/>
        <v>9</v>
      </c>
      <c r="X93">
        <f t="shared" si="4"/>
        <v>0</v>
      </c>
    </row>
    <row r="94" spans="1:24">
      <c r="A94" t="s">
        <v>185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1</v>
      </c>
      <c r="M94">
        <v>1</v>
      </c>
      <c r="N94">
        <v>1</v>
      </c>
      <c r="O94">
        <v>0</v>
      </c>
      <c r="P94">
        <v>0</v>
      </c>
      <c r="Q94">
        <v>1</v>
      </c>
      <c r="R94">
        <v>1</v>
      </c>
      <c r="S94">
        <v>0</v>
      </c>
      <c r="T94">
        <v>0</v>
      </c>
      <c r="U94">
        <v>1</v>
      </c>
      <c r="V94">
        <v>0</v>
      </c>
      <c r="W94">
        <f t="shared" si="3"/>
        <v>6</v>
      </c>
      <c r="X94">
        <f t="shared" si="4"/>
        <v>0</v>
      </c>
    </row>
    <row r="95" spans="1:24">
      <c r="A95" t="s">
        <v>186</v>
      </c>
      <c r="B95">
        <v>0</v>
      </c>
      <c r="C95">
        <v>1</v>
      </c>
      <c r="D95">
        <v>1</v>
      </c>
      <c r="E95">
        <v>1</v>
      </c>
      <c r="F95">
        <v>1</v>
      </c>
      <c r="G95">
        <v>0</v>
      </c>
      <c r="H95">
        <v>1</v>
      </c>
      <c r="I95">
        <v>1</v>
      </c>
      <c r="J95">
        <v>0</v>
      </c>
      <c r="K95">
        <v>0</v>
      </c>
      <c r="L95">
        <v>1</v>
      </c>
      <c r="M95">
        <v>0</v>
      </c>
      <c r="N95">
        <v>2</v>
      </c>
      <c r="O95">
        <v>1</v>
      </c>
      <c r="P95">
        <v>1</v>
      </c>
      <c r="Q95">
        <v>0</v>
      </c>
      <c r="R95">
        <v>1</v>
      </c>
      <c r="S95">
        <v>1</v>
      </c>
      <c r="T95">
        <v>0</v>
      </c>
      <c r="U95">
        <v>1</v>
      </c>
      <c r="V95">
        <v>0</v>
      </c>
      <c r="W95">
        <f t="shared" si="3"/>
        <v>14</v>
      </c>
      <c r="X95">
        <f t="shared" si="4"/>
        <v>1</v>
      </c>
    </row>
    <row r="96" spans="1:24">
      <c r="A96" t="s">
        <v>187</v>
      </c>
      <c r="B96">
        <v>1</v>
      </c>
      <c r="C96">
        <v>1</v>
      </c>
      <c r="D96">
        <v>2</v>
      </c>
      <c r="E96">
        <v>0</v>
      </c>
      <c r="F96">
        <v>1</v>
      </c>
      <c r="G96">
        <v>3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2</v>
      </c>
      <c r="P96">
        <v>2</v>
      </c>
      <c r="Q96">
        <v>1</v>
      </c>
      <c r="R96">
        <v>1</v>
      </c>
      <c r="S96">
        <v>0</v>
      </c>
      <c r="T96">
        <v>0</v>
      </c>
      <c r="U96">
        <v>0</v>
      </c>
      <c r="V96">
        <v>0</v>
      </c>
      <c r="W96">
        <f t="shared" si="3"/>
        <v>21</v>
      </c>
      <c r="X96">
        <f t="shared" si="4"/>
        <v>1</v>
      </c>
    </row>
    <row r="97" spans="1:24">
      <c r="A97" t="s">
        <v>188</v>
      </c>
      <c r="B97">
        <v>0</v>
      </c>
      <c r="C97">
        <v>1</v>
      </c>
      <c r="D97">
        <v>2</v>
      </c>
      <c r="E97">
        <v>2</v>
      </c>
      <c r="F97">
        <v>1</v>
      </c>
      <c r="G97">
        <v>3</v>
      </c>
      <c r="H97">
        <v>1</v>
      </c>
      <c r="I97">
        <v>1</v>
      </c>
      <c r="J97">
        <v>0</v>
      </c>
      <c r="K97">
        <v>1</v>
      </c>
      <c r="L97">
        <v>1</v>
      </c>
      <c r="M97">
        <v>0</v>
      </c>
      <c r="N97">
        <v>2</v>
      </c>
      <c r="O97">
        <v>2</v>
      </c>
      <c r="P97">
        <v>1</v>
      </c>
      <c r="Q97">
        <v>1</v>
      </c>
      <c r="R97">
        <v>1</v>
      </c>
      <c r="S97">
        <v>1</v>
      </c>
      <c r="T97">
        <v>0</v>
      </c>
      <c r="U97">
        <v>0</v>
      </c>
      <c r="V97">
        <v>0</v>
      </c>
      <c r="W97">
        <f t="shared" si="3"/>
        <v>21</v>
      </c>
      <c r="X97">
        <f t="shared" si="4"/>
        <v>1</v>
      </c>
    </row>
    <row r="98" spans="1:24">
      <c r="A98" t="s">
        <v>189</v>
      </c>
      <c r="B98">
        <v>0</v>
      </c>
      <c r="C98">
        <v>0</v>
      </c>
      <c r="D98">
        <v>1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1</v>
      </c>
      <c r="O98">
        <v>0</v>
      </c>
      <c r="P98">
        <v>1</v>
      </c>
      <c r="Q98">
        <v>1</v>
      </c>
      <c r="R98">
        <v>0</v>
      </c>
      <c r="S98">
        <v>0</v>
      </c>
      <c r="T98">
        <v>0</v>
      </c>
      <c r="U98">
        <v>1</v>
      </c>
      <c r="V98">
        <v>0</v>
      </c>
      <c r="W98">
        <f t="shared" si="3"/>
        <v>5</v>
      </c>
      <c r="X98">
        <f t="shared" si="4"/>
        <v>0</v>
      </c>
    </row>
    <row r="99" spans="1:24">
      <c r="A99" t="s">
        <v>190</v>
      </c>
      <c r="B99">
        <v>0</v>
      </c>
      <c r="C99">
        <v>0</v>
      </c>
      <c r="D99">
        <v>0</v>
      </c>
      <c r="E99">
        <v>0</v>
      </c>
      <c r="F99">
        <v>1</v>
      </c>
      <c r="G99">
        <v>0</v>
      </c>
      <c r="H99">
        <v>0</v>
      </c>
      <c r="I99">
        <v>1</v>
      </c>
      <c r="J99">
        <v>0</v>
      </c>
      <c r="K99">
        <v>0</v>
      </c>
      <c r="L99">
        <v>0</v>
      </c>
      <c r="M99">
        <v>1</v>
      </c>
      <c r="N99">
        <v>0</v>
      </c>
      <c r="O99">
        <v>0</v>
      </c>
      <c r="P99">
        <v>2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f t="shared" si="3"/>
        <v>5</v>
      </c>
      <c r="X99">
        <f t="shared" si="4"/>
        <v>0</v>
      </c>
    </row>
    <row r="100" spans="1:24">
      <c r="A100" t="s">
        <v>191</v>
      </c>
      <c r="B100">
        <v>1</v>
      </c>
      <c r="C100">
        <v>1</v>
      </c>
      <c r="D100">
        <v>1</v>
      </c>
      <c r="E100">
        <v>1</v>
      </c>
      <c r="F100">
        <v>2</v>
      </c>
      <c r="G100">
        <v>0</v>
      </c>
      <c r="H100">
        <v>1</v>
      </c>
      <c r="I100">
        <v>3</v>
      </c>
      <c r="J100">
        <v>3</v>
      </c>
      <c r="K100">
        <v>1</v>
      </c>
      <c r="L100">
        <v>1</v>
      </c>
      <c r="M100">
        <v>0</v>
      </c>
      <c r="N100">
        <v>2</v>
      </c>
      <c r="O100">
        <v>3</v>
      </c>
      <c r="P100">
        <v>2</v>
      </c>
      <c r="Q100">
        <v>0</v>
      </c>
      <c r="R100">
        <v>2</v>
      </c>
      <c r="S100">
        <v>1</v>
      </c>
      <c r="T100">
        <v>1</v>
      </c>
      <c r="U100">
        <v>0</v>
      </c>
      <c r="V100">
        <v>0</v>
      </c>
      <c r="W100">
        <f t="shared" si="3"/>
        <v>26</v>
      </c>
      <c r="X100">
        <f t="shared" si="4"/>
        <v>1</v>
      </c>
    </row>
    <row r="101" spans="1:24">
      <c r="A101" t="s">
        <v>192</v>
      </c>
      <c r="B101">
        <v>1</v>
      </c>
      <c r="C101">
        <v>1</v>
      </c>
      <c r="D101">
        <v>1</v>
      </c>
      <c r="E101">
        <v>0</v>
      </c>
      <c r="F101">
        <v>1</v>
      </c>
      <c r="G101">
        <v>0</v>
      </c>
      <c r="H101">
        <v>1</v>
      </c>
      <c r="I101">
        <v>1</v>
      </c>
      <c r="J101">
        <v>0</v>
      </c>
      <c r="K101">
        <v>2</v>
      </c>
      <c r="L101">
        <v>2</v>
      </c>
      <c r="M101">
        <v>0</v>
      </c>
      <c r="N101">
        <v>1</v>
      </c>
      <c r="O101">
        <v>3</v>
      </c>
      <c r="P101">
        <v>1</v>
      </c>
      <c r="Q101">
        <v>1</v>
      </c>
      <c r="R101">
        <v>1</v>
      </c>
      <c r="S101">
        <v>0</v>
      </c>
      <c r="T101">
        <v>0</v>
      </c>
      <c r="U101">
        <v>1</v>
      </c>
      <c r="V101">
        <v>0</v>
      </c>
      <c r="W101">
        <f t="shared" si="3"/>
        <v>18</v>
      </c>
      <c r="X101">
        <f t="shared" si="4"/>
        <v>1</v>
      </c>
    </row>
    <row r="102" spans="1:24">
      <c r="A102" t="s">
        <v>193</v>
      </c>
      <c r="B102">
        <v>0</v>
      </c>
      <c r="C102">
        <v>0</v>
      </c>
      <c r="D102">
        <v>1</v>
      </c>
      <c r="E102">
        <v>1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1</v>
      </c>
      <c r="M102">
        <v>1</v>
      </c>
      <c r="N102">
        <v>0</v>
      </c>
      <c r="O102">
        <v>0</v>
      </c>
      <c r="P102">
        <v>0</v>
      </c>
      <c r="Q102">
        <v>0</v>
      </c>
      <c r="R102">
        <v>1</v>
      </c>
      <c r="S102">
        <v>0</v>
      </c>
      <c r="T102">
        <v>0</v>
      </c>
      <c r="U102">
        <v>0</v>
      </c>
      <c r="V102">
        <v>1</v>
      </c>
      <c r="W102">
        <f t="shared" si="3"/>
        <v>6</v>
      </c>
      <c r="X102">
        <f t="shared" si="4"/>
        <v>0</v>
      </c>
    </row>
    <row r="103" spans="1:24">
      <c r="A103" t="s">
        <v>194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f t="shared" si="3"/>
        <v>0</v>
      </c>
      <c r="X103">
        <f t="shared" si="4"/>
        <v>0</v>
      </c>
    </row>
    <row r="104" spans="1:24">
      <c r="A104" t="s">
        <v>195</v>
      </c>
      <c r="B104">
        <v>0</v>
      </c>
      <c r="C104">
        <v>1</v>
      </c>
      <c r="D104">
        <v>0</v>
      </c>
      <c r="E104">
        <v>0</v>
      </c>
      <c r="F104">
        <v>1</v>
      </c>
      <c r="G104">
        <v>1</v>
      </c>
      <c r="H104">
        <v>1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1</v>
      </c>
      <c r="Q104">
        <v>1</v>
      </c>
      <c r="R104">
        <v>1</v>
      </c>
      <c r="S104">
        <v>0</v>
      </c>
      <c r="T104">
        <v>0</v>
      </c>
      <c r="U104">
        <v>0</v>
      </c>
      <c r="V104">
        <v>0</v>
      </c>
      <c r="W104">
        <f>SUM(B104:V104)</f>
        <v>7</v>
      </c>
      <c r="X104">
        <f t="shared" si="4"/>
        <v>0</v>
      </c>
    </row>
    <row r="105" spans="1:24">
      <c r="A105" t="s">
        <v>196</v>
      </c>
      <c r="B105">
        <v>0</v>
      </c>
      <c r="C105">
        <v>0</v>
      </c>
      <c r="D105">
        <v>0</v>
      </c>
      <c r="E105">
        <v>0</v>
      </c>
      <c r="F105">
        <v>1</v>
      </c>
      <c r="G105">
        <v>0</v>
      </c>
      <c r="H105">
        <v>0</v>
      </c>
      <c r="J105">
        <v>0</v>
      </c>
      <c r="K105">
        <v>0</v>
      </c>
      <c r="L105">
        <v>1</v>
      </c>
      <c r="M105">
        <v>0</v>
      </c>
      <c r="N105">
        <v>0</v>
      </c>
      <c r="O105">
        <v>1</v>
      </c>
      <c r="P105">
        <v>0</v>
      </c>
      <c r="Q105">
        <v>2</v>
      </c>
      <c r="R105">
        <v>0</v>
      </c>
      <c r="S105">
        <v>1</v>
      </c>
      <c r="T105">
        <v>0</v>
      </c>
      <c r="U105">
        <v>0</v>
      </c>
      <c r="V105">
        <v>0</v>
      </c>
      <c r="W105">
        <f>SUM(B105:V105)</f>
        <v>6</v>
      </c>
      <c r="X105">
        <f>IF(W105&gt;13,1,0)</f>
        <v>0</v>
      </c>
    </row>
    <row r="106" spans="1:24">
      <c r="A106" t="s">
        <v>197</v>
      </c>
      <c r="B106">
        <v>0</v>
      </c>
      <c r="C106">
        <v>0</v>
      </c>
      <c r="D106">
        <v>0</v>
      </c>
      <c r="E106">
        <v>0</v>
      </c>
      <c r="F106">
        <v>1</v>
      </c>
      <c r="G106">
        <v>0</v>
      </c>
      <c r="H106">
        <v>0</v>
      </c>
      <c r="I106">
        <v>1</v>
      </c>
      <c r="J106">
        <v>0</v>
      </c>
      <c r="K106">
        <v>0</v>
      </c>
      <c r="L106">
        <v>1</v>
      </c>
      <c r="M106">
        <v>0</v>
      </c>
      <c r="N106">
        <v>1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f>SUM(B106:V106)</f>
        <v>4</v>
      </c>
      <c r="X106">
        <f>IF(W106&gt;13,1,0)</f>
        <v>0</v>
      </c>
    </row>
  </sheetData>
  <mergeCells count="4">
    <mergeCell ref="A1:A4"/>
    <mergeCell ref="W1:W4"/>
    <mergeCell ref="X1:X4"/>
    <mergeCell ref="B1:V3"/>
  </mergeCells>
  <phoneticPr fontId="1" type="noConversion"/>
  <pageMargins left="0.75" right="0.75" top="1" bottom="1" header="0.51" footer="0.51"/>
  <pageSetup paperSize="9" fitToWidth="0" fitToHeight="0" orientation="portrait" errors="NA" horizontalDpi="96" verticalDpi="96"/>
  <headerFooter scaleWithDoc="0"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4AEE29-8BA6-45F0-A73C-CD39266B97D4}">
  <dimension ref="A1:AF106"/>
  <sheetViews>
    <sheetView zoomScaleNormal="100" zoomScaleSheetLayoutView="100" workbookViewId="0">
      <selection activeCell="AB6" sqref="AB6"/>
    </sheetView>
  </sheetViews>
  <sheetFormatPr defaultRowHeight="16.5"/>
  <cols>
    <col min="2" max="2" width="6.125" style="1" customWidth="1"/>
    <col min="3" max="4" width="5.625" style="1" customWidth="1"/>
    <col min="5" max="5" width="5.875" style="1" bestFit="1" customWidth="1"/>
    <col min="6" max="6" width="5.25" style="1" bestFit="1" customWidth="1"/>
    <col min="7" max="7" width="5.875" style="1" bestFit="1" customWidth="1"/>
    <col min="8" max="8" width="5.25" style="1" bestFit="1" customWidth="1"/>
    <col min="9" max="9" width="2.5" style="1" customWidth="1"/>
    <col min="10" max="10" width="2.625" style="1" customWidth="1"/>
    <col min="11" max="11" width="2.5" style="1" customWidth="1"/>
    <col min="12" max="12" width="2.375" style="1" customWidth="1"/>
    <col min="13" max="14" width="2.625" style="1" customWidth="1"/>
    <col min="15" max="16" width="2.25" style="1" customWidth="1"/>
    <col min="17" max="17" width="2.625" customWidth="1"/>
    <col min="18" max="18" width="16.125" bestFit="1" customWidth="1"/>
    <col min="19" max="22" width="3" customWidth="1"/>
    <col min="24" max="25" width="11.625" bestFit="1" customWidth="1"/>
    <col min="26" max="26" width="9.5" bestFit="1" customWidth="1"/>
    <col min="27" max="28" width="9.5" style="1" bestFit="1" customWidth="1"/>
    <col min="29" max="30" width="13.875" style="1" bestFit="1" customWidth="1"/>
    <col min="31" max="31" width="14.125" style="12" bestFit="1" customWidth="1"/>
    <col min="32" max="32" width="16.375" style="1" bestFit="1" customWidth="1"/>
  </cols>
  <sheetData>
    <row r="1" spans="1:32">
      <c r="A1" s="40" t="s">
        <v>86</v>
      </c>
      <c r="B1" s="34" t="s">
        <v>85</v>
      </c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Y1" s="15"/>
    </row>
    <row r="2" spans="1:32">
      <c r="A2" s="21"/>
      <c r="B2" s="36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</row>
    <row r="3" spans="1:32">
      <c r="A3" s="21"/>
      <c r="B3" s="38">
        <v>1</v>
      </c>
      <c r="C3" s="38"/>
      <c r="D3" s="5">
        <v>2</v>
      </c>
      <c r="E3" s="41">
        <v>3</v>
      </c>
      <c r="F3" s="42"/>
      <c r="G3" s="41">
        <v>4</v>
      </c>
      <c r="H3" s="42"/>
      <c r="I3" s="41">
        <v>5</v>
      </c>
      <c r="J3" s="43"/>
      <c r="K3" s="43"/>
      <c r="L3" s="43"/>
      <c r="M3" s="43"/>
      <c r="N3" s="43"/>
      <c r="O3" s="43"/>
      <c r="P3" s="43"/>
      <c r="Q3" s="43"/>
      <c r="R3" s="42"/>
      <c r="S3" s="28">
        <v>6</v>
      </c>
      <c r="T3" s="28">
        <v>7</v>
      </c>
      <c r="U3" s="28">
        <v>8</v>
      </c>
      <c r="V3" s="28">
        <v>9</v>
      </c>
      <c r="X3" s="39" t="s">
        <v>155</v>
      </c>
      <c r="Y3" s="39" t="s">
        <v>156</v>
      </c>
      <c r="Z3" s="30" t="s">
        <v>157</v>
      </c>
      <c r="AA3" s="30" t="s">
        <v>158</v>
      </c>
      <c r="AB3" s="30" t="s">
        <v>159</v>
      </c>
      <c r="AC3" s="30" t="s">
        <v>160</v>
      </c>
      <c r="AD3" s="30" t="s">
        <v>161</v>
      </c>
      <c r="AE3" s="32" t="s">
        <v>162</v>
      </c>
      <c r="AF3" s="26" t="s">
        <v>163</v>
      </c>
    </row>
    <row r="4" spans="1:32">
      <c r="A4" s="22"/>
      <c r="B4" s="5" t="s">
        <v>73</v>
      </c>
      <c r="C4" s="5" t="s">
        <v>72</v>
      </c>
      <c r="D4" s="5" t="s">
        <v>72</v>
      </c>
      <c r="E4" s="5" t="s">
        <v>73</v>
      </c>
      <c r="F4" s="5" t="s">
        <v>74</v>
      </c>
      <c r="G4" s="5" t="s">
        <v>73</v>
      </c>
      <c r="H4" s="5" t="s">
        <v>74</v>
      </c>
      <c r="I4" s="6" t="s">
        <v>75</v>
      </c>
      <c r="J4" s="6" t="s">
        <v>76</v>
      </c>
      <c r="K4" s="6" t="s">
        <v>77</v>
      </c>
      <c r="L4" s="6" t="s">
        <v>78</v>
      </c>
      <c r="M4" s="6" t="s">
        <v>79</v>
      </c>
      <c r="N4" s="6" t="s">
        <v>80</v>
      </c>
      <c r="O4" s="6" t="s">
        <v>81</v>
      </c>
      <c r="P4" s="6" t="s">
        <v>82</v>
      </c>
      <c r="Q4" s="5" t="s">
        <v>83</v>
      </c>
      <c r="R4" s="5" t="s">
        <v>84</v>
      </c>
      <c r="S4" s="29"/>
      <c r="T4" s="29"/>
      <c r="U4" s="29"/>
      <c r="V4" s="29"/>
      <c r="X4" s="31"/>
      <c r="Y4" s="31"/>
      <c r="Z4" s="31"/>
      <c r="AA4" s="31"/>
      <c r="AB4" s="31"/>
      <c r="AC4" s="31"/>
      <c r="AD4" s="31"/>
      <c r="AE4" s="33"/>
      <c r="AF4" s="27"/>
    </row>
    <row r="5" spans="1:32">
      <c r="A5" t="s">
        <v>87</v>
      </c>
      <c r="B5" s="7">
        <v>1</v>
      </c>
      <c r="C5" s="7">
        <v>0</v>
      </c>
      <c r="D5" s="7">
        <v>30</v>
      </c>
      <c r="E5" s="7">
        <v>8</v>
      </c>
      <c r="F5" s="7">
        <v>0</v>
      </c>
      <c r="G5" s="7">
        <v>6</v>
      </c>
      <c r="H5" s="7">
        <v>0</v>
      </c>
      <c r="I5" s="7">
        <v>3</v>
      </c>
      <c r="J5" s="7">
        <v>1</v>
      </c>
      <c r="K5" s="7">
        <v>1</v>
      </c>
      <c r="L5" s="7">
        <v>1</v>
      </c>
      <c r="M5" s="7">
        <v>3</v>
      </c>
      <c r="N5" s="7">
        <v>0</v>
      </c>
      <c r="O5" s="7">
        <v>0</v>
      </c>
      <c r="P5" s="7">
        <v>1</v>
      </c>
      <c r="Q5" s="7">
        <v>0</v>
      </c>
      <c r="R5" s="8"/>
      <c r="S5" s="7">
        <v>0</v>
      </c>
      <c r="T5" s="7">
        <v>1</v>
      </c>
      <c r="U5" s="7">
        <v>1</v>
      </c>
      <c r="V5" s="7">
        <v>1</v>
      </c>
      <c r="X5" s="10">
        <v>1</v>
      </c>
      <c r="Y5" s="9">
        <v>2</v>
      </c>
      <c r="Z5" s="9">
        <v>1</v>
      </c>
      <c r="AA5" s="14">
        <f>IF(((G5 + H5/60) / (MOD(TIME(E5,F5,0) - TIME(B5,C5,0), 1) * 24)) * 100 &gt; 85, 0,
  IF(((G5 + H5/60) / (MOD(TIME(E5,F5,0) - TIME(B5,C5,0), 1) * 24)) * 100 &gt;= 75, 1,
    IF(((G5 + H5/60) / (MOD(TIME(E5,F5,0) - TIME(B5,C5,0), 1) * 24)) * 100 &gt;= 65, 2, 3)
  )
)</f>
        <v>0</v>
      </c>
      <c r="AB5" s="1">
        <f>IF(SUM(J5:Q5)=0,0,
IF(SUM(J5:Q5)&lt;=9,1,
IF(SUM(J5:Q5)&lt;=18,2,3)
))</f>
        <v>1</v>
      </c>
      <c r="AC5" s="11">
        <v>0</v>
      </c>
      <c r="AD5" s="1">
        <f>IF(T5 + U5 = 0, 0,
  IF(T5 + U5 &lt;= 2, 1,
    IF(T5 + U5 &lt;= 4, 2, 3)
  )
)</f>
        <v>1</v>
      </c>
      <c r="AE5" s="12">
        <f>SUM(X5:AD5)</f>
        <v>6</v>
      </c>
      <c r="AF5" s="13">
        <f>IF(AE5&gt;=5, 1, 0)</f>
        <v>1</v>
      </c>
    </row>
    <row r="6" spans="1:32">
      <c r="A6" t="s">
        <v>88</v>
      </c>
      <c r="B6" s="1">
        <v>0</v>
      </c>
      <c r="C6" s="1">
        <v>30</v>
      </c>
      <c r="D6" s="1">
        <v>30</v>
      </c>
      <c r="E6" s="1">
        <v>5</v>
      </c>
      <c r="F6" s="1">
        <v>30</v>
      </c>
      <c r="G6" s="1">
        <v>5</v>
      </c>
      <c r="H6" s="1">
        <v>0</v>
      </c>
      <c r="I6" s="1">
        <v>1</v>
      </c>
      <c r="J6" s="1">
        <v>1</v>
      </c>
      <c r="K6" s="1">
        <v>2</v>
      </c>
      <c r="L6" s="1">
        <v>0</v>
      </c>
      <c r="M6" s="1">
        <v>0</v>
      </c>
      <c r="N6" s="1">
        <v>1</v>
      </c>
      <c r="O6" s="1">
        <v>2</v>
      </c>
      <c r="P6" s="1">
        <v>0</v>
      </c>
      <c r="Q6" s="1">
        <v>0</v>
      </c>
      <c r="S6" s="1">
        <v>3</v>
      </c>
      <c r="T6" s="1">
        <v>3</v>
      </c>
      <c r="U6" s="1">
        <v>2</v>
      </c>
      <c r="V6" s="1">
        <v>2</v>
      </c>
      <c r="X6" s="1">
        <v>2</v>
      </c>
      <c r="Y6" s="1">
        <v>1</v>
      </c>
      <c r="Z6" s="1">
        <v>2</v>
      </c>
      <c r="AA6" s="14">
        <f t="shared" ref="AA6:AA69" si="0">IF(((G6 + H6/60) / (MOD(TIME(E6,F6,0) - TIME(B6,C6,0), 1) * 24)) * 100 &gt; 85, 0,
  IF(((G6 + H6/60) / (MOD(TIME(E6,F6,0) - TIME(B6,C6,0), 1) * 24)) * 100 &gt;= 75, 1,
    IF(((G6 + H6/60) / (MOD(TIME(E6,F6,0) - TIME(B6,C6,0), 1) * 24)) * 100 &gt;= 65, 2, 3)
  )
)</f>
        <v>0</v>
      </c>
      <c r="AB6" s="1">
        <f t="shared" ref="AB6:AB69" si="1">IF(SUM(J6:Q6)=0,0,
IF(SUM(J6:Q6)&lt;=9,1,
IF(SUM(J6:Q6)&lt;=18,2,3)
))</f>
        <v>1</v>
      </c>
      <c r="AC6" s="1">
        <v>3</v>
      </c>
      <c r="AD6" s="1">
        <f t="shared" ref="AD6:AD69" si="2">IF(T6 + U6 = 0, 0,
  IF(T6 + U6 &lt;= 2, 1,
    IF(T6 + U6 &lt;= 4, 2, 3)
  )
)</f>
        <v>3</v>
      </c>
      <c r="AE6" s="12">
        <f t="shared" ref="AE6:AE69" si="3">SUM(X6:AD6)</f>
        <v>12</v>
      </c>
      <c r="AF6" s="13">
        <f t="shared" ref="AF6:AF69" si="4">IF(AE6&gt;=5, 1, 0)</f>
        <v>1</v>
      </c>
    </row>
    <row r="7" spans="1:32">
      <c r="A7" t="s">
        <v>89</v>
      </c>
      <c r="B7" s="1">
        <v>0</v>
      </c>
      <c r="C7" s="1">
        <v>0</v>
      </c>
      <c r="D7" s="1">
        <v>13</v>
      </c>
      <c r="E7" s="1">
        <v>7</v>
      </c>
      <c r="F7" s="1">
        <v>0</v>
      </c>
      <c r="G7" s="1">
        <v>6</v>
      </c>
      <c r="H7" s="1">
        <v>50</v>
      </c>
      <c r="I7" s="1">
        <v>1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S7" s="1">
        <v>0</v>
      </c>
      <c r="T7" s="1">
        <v>0</v>
      </c>
      <c r="U7" s="1">
        <v>1</v>
      </c>
      <c r="V7" s="1">
        <v>1</v>
      </c>
      <c r="X7" s="1">
        <v>1</v>
      </c>
      <c r="Y7" s="1">
        <v>1</v>
      </c>
      <c r="Z7" s="1">
        <v>1</v>
      </c>
      <c r="AA7" s="14">
        <f t="shared" si="0"/>
        <v>0</v>
      </c>
      <c r="AB7" s="1">
        <f t="shared" si="1"/>
        <v>0</v>
      </c>
      <c r="AC7" s="1">
        <v>0</v>
      </c>
      <c r="AD7" s="1">
        <f t="shared" si="2"/>
        <v>1</v>
      </c>
      <c r="AE7" s="12">
        <f t="shared" si="3"/>
        <v>4</v>
      </c>
      <c r="AF7" s="13">
        <f t="shared" si="4"/>
        <v>0</v>
      </c>
    </row>
    <row r="8" spans="1:32">
      <c r="A8" t="s">
        <v>90</v>
      </c>
      <c r="B8" s="1">
        <v>23</v>
      </c>
      <c r="C8" s="1">
        <v>30</v>
      </c>
      <c r="D8" s="1">
        <v>10</v>
      </c>
      <c r="E8" s="1">
        <v>8</v>
      </c>
      <c r="F8" s="1">
        <v>0</v>
      </c>
      <c r="G8" s="1">
        <v>8</v>
      </c>
      <c r="H8" s="1">
        <v>0</v>
      </c>
      <c r="I8" s="1">
        <v>1</v>
      </c>
      <c r="J8" s="1">
        <v>1</v>
      </c>
      <c r="K8" s="1">
        <v>0</v>
      </c>
      <c r="L8" s="1">
        <v>3</v>
      </c>
      <c r="M8" s="1">
        <v>0</v>
      </c>
      <c r="N8" s="1">
        <v>0</v>
      </c>
      <c r="O8" s="1">
        <v>0</v>
      </c>
      <c r="P8" s="1">
        <v>1</v>
      </c>
      <c r="Q8" s="9">
        <v>3</v>
      </c>
      <c r="S8" s="9">
        <v>0</v>
      </c>
      <c r="T8" s="9">
        <v>2</v>
      </c>
      <c r="U8" s="9">
        <v>2</v>
      </c>
      <c r="V8" s="9">
        <v>1</v>
      </c>
      <c r="X8" s="9">
        <v>1</v>
      </c>
      <c r="Y8" s="1">
        <v>1</v>
      </c>
      <c r="Z8" s="1">
        <v>0</v>
      </c>
      <c r="AA8" s="14">
        <f t="shared" si="0"/>
        <v>0</v>
      </c>
      <c r="AB8" s="1">
        <f t="shared" si="1"/>
        <v>1</v>
      </c>
      <c r="AC8" s="9">
        <v>0</v>
      </c>
      <c r="AD8" s="1">
        <f t="shared" si="2"/>
        <v>2</v>
      </c>
      <c r="AE8" s="12">
        <f t="shared" si="3"/>
        <v>5</v>
      </c>
      <c r="AF8" s="13">
        <f t="shared" si="4"/>
        <v>1</v>
      </c>
    </row>
    <row r="9" spans="1:32">
      <c r="A9" t="s">
        <v>91</v>
      </c>
      <c r="B9" s="1">
        <v>0</v>
      </c>
      <c r="C9" s="1">
        <v>0</v>
      </c>
      <c r="D9" s="1">
        <v>20</v>
      </c>
      <c r="E9" s="1">
        <v>7</v>
      </c>
      <c r="F9" s="1">
        <v>50</v>
      </c>
      <c r="G9" s="1">
        <v>6</v>
      </c>
      <c r="H9" s="1">
        <v>0</v>
      </c>
      <c r="I9" s="1">
        <v>1</v>
      </c>
      <c r="J9" s="1">
        <v>1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9">
        <v>1</v>
      </c>
      <c r="S9" s="9">
        <v>0</v>
      </c>
      <c r="T9" s="9">
        <v>0</v>
      </c>
      <c r="U9" s="9">
        <v>1</v>
      </c>
      <c r="V9" s="9">
        <v>0</v>
      </c>
      <c r="X9" s="9">
        <v>0</v>
      </c>
      <c r="Y9" s="1">
        <v>1</v>
      </c>
      <c r="Z9" s="1">
        <v>1</v>
      </c>
      <c r="AA9" s="14">
        <f t="shared" si="0"/>
        <v>1</v>
      </c>
      <c r="AB9" s="1">
        <f t="shared" si="1"/>
        <v>1</v>
      </c>
      <c r="AC9" s="9">
        <v>0</v>
      </c>
      <c r="AD9" s="1">
        <f t="shared" si="2"/>
        <v>1</v>
      </c>
      <c r="AE9" s="12">
        <f t="shared" si="3"/>
        <v>5</v>
      </c>
      <c r="AF9" s="13">
        <f t="shared" si="4"/>
        <v>1</v>
      </c>
    </row>
    <row r="10" spans="1:32">
      <c r="A10" t="s">
        <v>92</v>
      </c>
      <c r="B10" s="1">
        <v>1</v>
      </c>
      <c r="C10" s="1">
        <v>30</v>
      </c>
      <c r="D10" s="1">
        <v>20</v>
      </c>
      <c r="E10" s="1">
        <v>9</v>
      </c>
      <c r="F10" s="1">
        <v>0</v>
      </c>
      <c r="G10" s="1">
        <v>7</v>
      </c>
      <c r="H10" s="1">
        <v>30</v>
      </c>
      <c r="I10" s="1">
        <v>2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9">
        <v>0</v>
      </c>
      <c r="S10" s="9">
        <v>0</v>
      </c>
      <c r="T10" s="9">
        <v>2</v>
      </c>
      <c r="U10" s="9">
        <v>1</v>
      </c>
      <c r="V10" s="9">
        <v>1</v>
      </c>
      <c r="X10" s="9">
        <v>1</v>
      </c>
      <c r="Y10" s="1">
        <v>2</v>
      </c>
      <c r="Z10" s="1">
        <v>0</v>
      </c>
      <c r="AA10" s="14">
        <f t="shared" si="0"/>
        <v>0</v>
      </c>
      <c r="AB10" s="1">
        <f t="shared" si="1"/>
        <v>0</v>
      </c>
      <c r="AC10" s="9">
        <v>0</v>
      </c>
      <c r="AD10" s="1">
        <f t="shared" si="2"/>
        <v>2</v>
      </c>
      <c r="AE10" s="12">
        <f t="shared" si="3"/>
        <v>5</v>
      </c>
      <c r="AF10" s="13">
        <f t="shared" si="4"/>
        <v>1</v>
      </c>
    </row>
    <row r="11" spans="1:32">
      <c r="A11" t="s">
        <v>93</v>
      </c>
      <c r="B11" s="1">
        <v>1</v>
      </c>
      <c r="C11" s="1">
        <v>0</v>
      </c>
      <c r="D11" s="1">
        <v>10</v>
      </c>
      <c r="E11" s="1">
        <v>7</v>
      </c>
      <c r="F11" s="1">
        <v>50</v>
      </c>
      <c r="G11" s="1">
        <v>6</v>
      </c>
      <c r="H11" s="1">
        <v>0</v>
      </c>
      <c r="I11" s="1">
        <v>1</v>
      </c>
      <c r="J11" s="1">
        <v>1</v>
      </c>
      <c r="K11" s="1">
        <v>0</v>
      </c>
      <c r="L11" s="1">
        <v>0</v>
      </c>
      <c r="M11" s="1">
        <v>0</v>
      </c>
      <c r="N11" s="1">
        <v>1</v>
      </c>
      <c r="O11" s="1">
        <v>2</v>
      </c>
      <c r="P11" s="1">
        <v>0</v>
      </c>
      <c r="Q11" s="9">
        <v>1</v>
      </c>
      <c r="S11" s="9">
        <v>0</v>
      </c>
      <c r="T11" s="9">
        <v>0</v>
      </c>
      <c r="U11" s="9">
        <v>2</v>
      </c>
      <c r="V11" s="9">
        <v>1</v>
      </c>
      <c r="X11" s="9">
        <v>1</v>
      </c>
      <c r="Y11" s="1">
        <v>1</v>
      </c>
      <c r="Z11" s="1">
        <v>1</v>
      </c>
      <c r="AA11" s="14">
        <f t="shared" si="0"/>
        <v>0</v>
      </c>
      <c r="AB11" s="1">
        <f t="shared" si="1"/>
        <v>1</v>
      </c>
      <c r="AC11" s="9">
        <v>0</v>
      </c>
      <c r="AD11" s="1">
        <f t="shared" si="2"/>
        <v>1</v>
      </c>
      <c r="AE11" s="12">
        <f t="shared" si="3"/>
        <v>5</v>
      </c>
      <c r="AF11" s="13">
        <f t="shared" si="4"/>
        <v>1</v>
      </c>
    </row>
    <row r="12" spans="1:32">
      <c r="A12" t="s">
        <v>94</v>
      </c>
      <c r="B12" s="1">
        <v>2</v>
      </c>
      <c r="C12" s="1">
        <v>30</v>
      </c>
      <c r="D12" s="1">
        <v>2</v>
      </c>
      <c r="E12" s="1">
        <v>10</v>
      </c>
      <c r="F12" s="1">
        <v>30</v>
      </c>
      <c r="G12" s="1">
        <v>8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2</v>
      </c>
      <c r="Q12" s="9">
        <v>1</v>
      </c>
      <c r="S12" s="9">
        <v>0</v>
      </c>
      <c r="T12" s="9">
        <v>1</v>
      </c>
      <c r="U12" s="9">
        <v>2</v>
      </c>
      <c r="V12" s="9">
        <v>1</v>
      </c>
      <c r="X12" s="9">
        <v>1</v>
      </c>
      <c r="Y12" s="1">
        <v>0</v>
      </c>
      <c r="Z12" s="1">
        <v>0</v>
      </c>
      <c r="AA12" s="14">
        <f t="shared" si="0"/>
        <v>0</v>
      </c>
      <c r="AB12" s="1">
        <f t="shared" si="1"/>
        <v>1</v>
      </c>
      <c r="AC12" s="9">
        <v>0</v>
      </c>
      <c r="AD12" s="1">
        <f t="shared" si="2"/>
        <v>2</v>
      </c>
      <c r="AE12" s="12">
        <f t="shared" si="3"/>
        <v>4</v>
      </c>
      <c r="AF12" s="13">
        <f t="shared" si="4"/>
        <v>0</v>
      </c>
    </row>
    <row r="13" spans="1:32">
      <c r="A13" t="s">
        <v>95</v>
      </c>
      <c r="B13" s="1">
        <v>23</v>
      </c>
      <c r="C13" s="1">
        <v>30</v>
      </c>
      <c r="D13" s="1">
        <v>30</v>
      </c>
      <c r="E13" s="1">
        <v>8</v>
      </c>
      <c r="F13" s="1">
        <v>30</v>
      </c>
      <c r="G13" s="1">
        <v>8</v>
      </c>
      <c r="H13" s="1">
        <v>0</v>
      </c>
      <c r="I13" s="1">
        <v>1</v>
      </c>
      <c r="J13" s="1">
        <v>1</v>
      </c>
      <c r="K13" s="1">
        <v>1</v>
      </c>
      <c r="L13" s="1">
        <v>1</v>
      </c>
      <c r="M13" s="1">
        <v>0</v>
      </c>
      <c r="N13" s="1">
        <v>0</v>
      </c>
      <c r="O13" s="1">
        <v>2</v>
      </c>
      <c r="P13" s="1">
        <v>0</v>
      </c>
      <c r="Q13" s="9">
        <v>1</v>
      </c>
      <c r="S13" s="9">
        <v>0</v>
      </c>
      <c r="T13" s="9">
        <v>0</v>
      </c>
      <c r="U13" s="9">
        <v>2</v>
      </c>
      <c r="V13" s="9">
        <v>1</v>
      </c>
      <c r="X13" s="9">
        <v>1</v>
      </c>
      <c r="Y13" s="1">
        <v>1</v>
      </c>
      <c r="Z13" s="1">
        <v>0</v>
      </c>
      <c r="AA13" s="14">
        <f t="shared" si="0"/>
        <v>0</v>
      </c>
      <c r="AB13" s="1">
        <f t="shared" si="1"/>
        <v>1</v>
      </c>
      <c r="AC13" s="9">
        <v>0</v>
      </c>
      <c r="AD13" s="1">
        <f t="shared" si="2"/>
        <v>1</v>
      </c>
      <c r="AE13" s="12">
        <f t="shared" si="3"/>
        <v>4</v>
      </c>
      <c r="AF13" s="13">
        <f t="shared" si="4"/>
        <v>0</v>
      </c>
    </row>
    <row r="14" spans="1:32">
      <c r="A14" t="s">
        <v>96</v>
      </c>
      <c r="B14" s="1">
        <v>2</v>
      </c>
      <c r="C14" s="1">
        <v>30</v>
      </c>
      <c r="D14" s="1">
        <v>15</v>
      </c>
      <c r="E14" s="1">
        <v>10</v>
      </c>
      <c r="F14" s="1">
        <v>0</v>
      </c>
      <c r="G14" s="1">
        <v>6</v>
      </c>
      <c r="H14" s="1">
        <v>30</v>
      </c>
      <c r="I14" s="1">
        <v>1</v>
      </c>
      <c r="J14" s="1">
        <v>0</v>
      </c>
      <c r="K14" s="1">
        <v>0</v>
      </c>
      <c r="L14" s="1">
        <v>3</v>
      </c>
      <c r="M14" s="1">
        <v>3</v>
      </c>
      <c r="N14" s="1">
        <v>0</v>
      </c>
      <c r="O14" s="1">
        <v>2</v>
      </c>
      <c r="P14" s="1">
        <v>1</v>
      </c>
      <c r="Q14" s="9">
        <v>0</v>
      </c>
      <c r="S14" s="9">
        <v>0</v>
      </c>
      <c r="T14" s="9">
        <v>2</v>
      </c>
      <c r="U14" s="9">
        <v>1</v>
      </c>
      <c r="V14" s="9">
        <v>1</v>
      </c>
      <c r="X14" s="9">
        <v>1</v>
      </c>
      <c r="Y14" s="1">
        <v>1</v>
      </c>
      <c r="Z14" s="1">
        <v>1</v>
      </c>
      <c r="AA14" s="14">
        <f t="shared" si="0"/>
        <v>0</v>
      </c>
      <c r="AB14" s="1">
        <f t="shared" si="1"/>
        <v>1</v>
      </c>
      <c r="AC14" s="9">
        <v>0</v>
      </c>
      <c r="AD14" s="1">
        <f t="shared" si="2"/>
        <v>2</v>
      </c>
      <c r="AE14" s="12">
        <f t="shared" si="3"/>
        <v>6</v>
      </c>
      <c r="AF14" s="13">
        <f t="shared" si="4"/>
        <v>1</v>
      </c>
    </row>
    <row r="15" spans="1:32">
      <c r="A15" t="s">
        <v>97</v>
      </c>
      <c r="B15" s="1">
        <v>23</v>
      </c>
      <c r="C15" s="1">
        <v>0</v>
      </c>
      <c r="D15" s="1">
        <v>5</v>
      </c>
      <c r="E15" s="1">
        <v>6</v>
      </c>
      <c r="F15" s="1">
        <v>0</v>
      </c>
      <c r="G15" s="1">
        <v>7</v>
      </c>
      <c r="H15" s="1">
        <v>0</v>
      </c>
      <c r="I15" s="1">
        <v>1</v>
      </c>
      <c r="J15" s="1">
        <v>1</v>
      </c>
      <c r="K15" s="1">
        <v>2</v>
      </c>
      <c r="L15" s="1">
        <v>0</v>
      </c>
      <c r="M15" s="1">
        <v>1</v>
      </c>
      <c r="N15" s="1">
        <v>0</v>
      </c>
      <c r="O15" s="1">
        <v>1</v>
      </c>
      <c r="P15" s="1">
        <v>1</v>
      </c>
      <c r="Q15" s="9">
        <v>1</v>
      </c>
      <c r="S15" s="9">
        <v>1</v>
      </c>
      <c r="T15" s="9">
        <v>1</v>
      </c>
      <c r="U15" s="9">
        <v>1</v>
      </c>
      <c r="V15" s="9">
        <v>1</v>
      </c>
      <c r="X15" s="9">
        <v>1</v>
      </c>
      <c r="Y15" s="1">
        <v>1</v>
      </c>
      <c r="Z15" s="1">
        <v>0</v>
      </c>
      <c r="AA15" s="14">
        <f t="shared" si="0"/>
        <v>0</v>
      </c>
      <c r="AB15" s="1">
        <f t="shared" si="1"/>
        <v>1</v>
      </c>
      <c r="AC15" s="9">
        <v>1</v>
      </c>
      <c r="AD15" s="1">
        <f t="shared" si="2"/>
        <v>1</v>
      </c>
      <c r="AE15" s="12">
        <f t="shared" si="3"/>
        <v>5</v>
      </c>
      <c r="AF15" s="13">
        <f t="shared" si="4"/>
        <v>1</v>
      </c>
    </row>
    <row r="16" spans="1:32">
      <c r="A16" t="s">
        <v>98</v>
      </c>
      <c r="B16" s="1">
        <v>1</v>
      </c>
      <c r="C16" s="1">
        <v>0</v>
      </c>
      <c r="D16" s="1">
        <v>10</v>
      </c>
      <c r="E16" s="1">
        <v>9</v>
      </c>
      <c r="F16" s="1">
        <v>0</v>
      </c>
      <c r="G16" s="1">
        <v>7</v>
      </c>
      <c r="H16" s="1">
        <v>0</v>
      </c>
      <c r="I16" s="1">
        <v>0</v>
      </c>
      <c r="J16" s="1">
        <v>1</v>
      </c>
      <c r="K16" s="1">
        <v>1</v>
      </c>
      <c r="L16" s="1">
        <v>0</v>
      </c>
      <c r="M16" s="1">
        <v>0</v>
      </c>
      <c r="N16" s="1">
        <v>1</v>
      </c>
      <c r="O16" s="1">
        <v>0</v>
      </c>
      <c r="P16" s="1">
        <v>0</v>
      </c>
      <c r="Q16" s="9">
        <v>0</v>
      </c>
      <c r="S16" s="9">
        <v>0</v>
      </c>
      <c r="T16" s="9">
        <v>0</v>
      </c>
      <c r="U16" s="9">
        <v>1</v>
      </c>
      <c r="V16" s="9">
        <v>0</v>
      </c>
      <c r="X16" s="9">
        <v>0</v>
      </c>
      <c r="Y16" s="1">
        <v>0</v>
      </c>
      <c r="Z16" s="1">
        <v>0</v>
      </c>
      <c r="AA16" s="14">
        <f t="shared" si="0"/>
        <v>0</v>
      </c>
      <c r="AB16" s="1">
        <f t="shared" si="1"/>
        <v>1</v>
      </c>
      <c r="AC16" s="9">
        <v>0</v>
      </c>
      <c r="AD16" s="1">
        <f t="shared" si="2"/>
        <v>1</v>
      </c>
      <c r="AE16" s="12">
        <f t="shared" si="3"/>
        <v>2</v>
      </c>
      <c r="AF16" s="13">
        <f t="shared" si="4"/>
        <v>0</v>
      </c>
    </row>
    <row r="17" spans="1:32">
      <c r="A17" t="s">
        <v>99</v>
      </c>
      <c r="B17" s="1">
        <v>4</v>
      </c>
      <c r="C17" s="1">
        <v>0</v>
      </c>
      <c r="D17" s="1">
        <v>5</v>
      </c>
      <c r="E17" s="1">
        <v>14</v>
      </c>
      <c r="F17" s="1">
        <v>0</v>
      </c>
      <c r="G17" s="1">
        <v>10</v>
      </c>
      <c r="H17" s="1">
        <v>0</v>
      </c>
      <c r="I17" s="1">
        <v>1</v>
      </c>
      <c r="J17" s="1">
        <v>1</v>
      </c>
      <c r="K17" s="1">
        <v>1</v>
      </c>
      <c r="L17" s="1">
        <v>1</v>
      </c>
      <c r="M17" s="1">
        <v>1</v>
      </c>
      <c r="N17" s="1">
        <v>1</v>
      </c>
      <c r="O17" s="1">
        <v>1</v>
      </c>
      <c r="P17" s="1">
        <v>1</v>
      </c>
      <c r="Q17" s="9">
        <v>1</v>
      </c>
      <c r="S17" s="9">
        <v>0</v>
      </c>
      <c r="T17" s="9">
        <v>1</v>
      </c>
      <c r="U17" s="9">
        <v>1</v>
      </c>
      <c r="V17" s="9">
        <v>2</v>
      </c>
      <c r="X17" s="9">
        <v>2</v>
      </c>
      <c r="Y17" s="1">
        <v>1</v>
      </c>
      <c r="Z17" s="1">
        <v>0</v>
      </c>
      <c r="AA17" s="14">
        <f t="shared" si="0"/>
        <v>0</v>
      </c>
      <c r="AB17" s="1">
        <f t="shared" si="1"/>
        <v>1</v>
      </c>
      <c r="AC17" s="9">
        <v>0</v>
      </c>
      <c r="AD17" s="1">
        <f t="shared" si="2"/>
        <v>1</v>
      </c>
      <c r="AE17" s="12">
        <f t="shared" si="3"/>
        <v>5</v>
      </c>
      <c r="AF17" s="13">
        <f t="shared" si="4"/>
        <v>1</v>
      </c>
    </row>
    <row r="18" spans="1:32">
      <c r="A18" t="s">
        <v>100</v>
      </c>
      <c r="B18" s="1">
        <v>2</v>
      </c>
      <c r="C18" s="1">
        <v>30</v>
      </c>
      <c r="D18" s="1">
        <v>20</v>
      </c>
      <c r="E18" s="1">
        <v>11</v>
      </c>
      <c r="F18" s="1">
        <v>0</v>
      </c>
      <c r="G18" s="1">
        <v>7</v>
      </c>
      <c r="H18" s="1">
        <v>0</v>
      </c>
      <c r="I18" s="1">
        <v>1</v>
      </c>
      <c r="J18" s="1">
        <v>2</v>
      </c>
      <c r="K18" s="1">
        <v>0</v>
      </c>
      <c r="L18" s="1">
        <v>0</v>
      </c>
      <c r="M18" s="1">
        <v>0</v>
      </c>
      <c r="N18" s="1">
        <v>1</v>
      </c>
      <c r="O18" s="1">
        <v>1</v>
      </c>
      <c r="P18" s="1">
        <v>1</v>
      </c>
      <c r="Q18" s="9">
        <v>0</v>
      </c>
      <c r="S18" s="9">
        <v>0</v>
      </c>
      <c r="T18" s="9">
        <v>2</v>
      </c>
      <c r="U18" s="9">
        <v>2</v>
      </c>
      <c r="V18" s="9">
        <v>2</v>
      </c>
      <c r="X18" s="9">
        <v>2</v>
      </c>
      <c r="Y18" s="1">
        <v>1</v>
      </c>
      <c r="Z18" s="1">
        <v>0</v>
      </c>
      <c r="AA18" s="14">
        <f t="shared" si="0"/>
        <v>1</v>
      </c>
      <c r="AB18" s="1">
        <f t="shared" si="1"/>
        <v>1</v>
      </c>
      <c r="AC18" s="9">
        <v>0</v>
      </c>
      <c r="AD18" s="1">
        <f t="shared" si="2"/>
        <v>2</v>
      </c>
      <c r="AE18" s="12">
        <f t="shared" si="3"/>
        <v>7</v>
      </c>
      <c r="AF18" s="13">
        <f t="shared" si="4"/>
        <v>1</v>
      </c>
    </row>
    <row r="19" spans="1:32">
      <c r="A19" t="s">
        <v>101</v>
      </c>
      <c r="B19" s="1">
        <v>2</v>
      </c>
      <c r="C19" s="1">
        <v>0</v>
      </c>
      <c r="D19" s="1">
        <v>5</v>
      </c>
      <c r="E19" s="1">
        <v>10</v>
      </c>
      <c r="F19" s="1">
        <v>0</v>
      </c>
      <c r="G19" s="1">
        <v>6</v>
      </c>
      <c r="H19" s="1">
        <v>0</v>
      </c>
      <c r="I19" s="1">
        <v>2</v>
      </c>
      <c r="J19" s="1">
        <v>2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2</v>
      </c>
      <c r="Q19" s="9">
        <v>0</v>
      </c>
      <c r="S19" s="9">
        <v>0</v>
      </c>
      <c r="T19" s="9">
        <v>0</v>
      </c>
      <c r="U19" s="9">
        <v>0</v>
      </c>
      <c r="V19" s="9">
        <v>2</v>
      </c>
      <c r="X19" s="9">
        <v>2</v>
      </c>
      <c r="Y19" s="1">
        <v>1</v>
      </c>
      <c r="Z19" s="1">
        <v>1</v>
      </c>
      <c r="AA19" s="14">
        <f t="shared" si="0"/>
        <v>1</v>
      </c>
      <c r="AB19" s="1">
        <f t="shared" si="1"/>
        <v>1</v>
      </c>
      <c r="AC19" s="9">
        <v>0</v>
      </c>
      <c r="AD19" s="1">
        <f t="shared" si="2"/>
        <v>0</v>
      </c>
      <c r="AE19" s="12">
        <f t="shared" si="3"/>
        <v>6</v>
      </c>
      <c r="AF19" s="13">
        <f t="shared" si="4"/>
        <v>1</v>
      </c>
    </row>
    <row r="20" spans="1:32">
      <c r="A20" t="s">
        <v>102</v>
      </c>
      <c r="B20" s="1">
        <v>23</v>
      </c>
      <c r="C20" s="1">
        <v>0</v>
      </c>
      <c r="D20" s="1">
        <v>15</v>
      </c>
      <c r="E20" s="1">
        <v>6</v>
      </c>
      <c r="F20" s="1">
        <v>20</v>
      </c>
      <c r="G20" s="1">
        <v>6</v>
      </c>
      <c r="H20" s="1">
        <v>30</v>
      </c>
      <c r="I20" s="1">
        <v>1</v>
      </c>
      <c r="J20" s="1">
        <v>0</v>
      </c>
      <c r="K20" s="1">
        <v>3</v>
      </c>
      <c r="L20" s="1">
        <v>1</v>
      </c>
      <c r="M20" s="1">
        <v>3</v>
      </c>
      <c r="N20" s="1">
        <v>0</v>
      </c>
      <c r="O20" s="1">
        <v>0</v>
      </c>
      <c r="P20" s="1">
        <v>1</v>
      </c>
      <c r="Q20" s="9">
        <v>2</v>
      </c>
      <c r="S20" s="9">
        <v>1</v>
      </c>
      <c r="T20" s="9">
        <v>2</v>
      </c>
      <c r="U20" s="9">
        <v>2</v>
      </c>
      <c r="V20" s="9">
        <v>1</v>
      </c>
      <c r="X20" s="9">
        <v>1</v>
      </c>
      <c r="Y20" s="1">
        <v>1</v>
      </c>
      <c r="Z20" s="1">
        <v>1</v>
      </c>
      <c r="AA20" s="14">
        <f t="shared" si="0"/>
        <v>0</v>
      </c>
      <c r="AB20" s="1">
        <f t="shared" si="1"/>
        <v>2</v>
      </c>
      <c r="AC20" s="9">
        <v>1</v>
      </c>
      <c r="AD20" s="1">
        <f t="shared" si="2"/>
        <v>2</v>
      </c>
      <c r="AE20" s="12">
        <f t="shared" si="3"/>
        <v>8</v>
      </c>
      <c r="AF20" s="13">
        <f t="shared" si="4"/>
        <v>1</v>
      </c>
    </row>
    <row r="21" spans="1:32">
      <c r="A21" t="s">
        <v>103</v>
      </c>
      <c r="B21" s="1">
        <v>2</v>
      </c>
      <c r="C21" s="1">
        <v>0</v>
      </c>
      <c r="D21" s="1">
        <v>3</v>
      </c>
      <c r="E21" s="1">
        <v>9</v>
      </c>
      <c r="F21" s="1">
        <v>0</v>
      </c>
      <c r="G21" s="1">
        <v>7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3</v>
      </c>
      <c r="N21" s="1">
        <v>0</v>
      </c>
      <c r="O21" s="1">
        <v>0</v>
      </c>
      <c r="P21" s="1">
        <v>1</v>
      </c>
      <c r="Q21" s="9">
        <v>0</v>
      </c>
      <c r="S21" s="9">
        <v>0</v>
      </c>
      <c r="T21" s="9">
        <v>2</v>
      </c>
      <c r="U21" s="9">
        <v>1</v>
      </c>
      <c r="V21" s="9">
        <v>1</v>
      </c>
      <c r="X21" s="9">
        <v>1</v>
      </c>
      <c r="Y21" s="1">
        <v>0</v>
      </c>
      <c r="Z21" s="1">
        <v>0</v>
      </c>
      <c r="AA21" s="14">
        <f t="shared" si="0"/>
        <v>0</v>
      </c>
      <c r="AB21" s="1">
        <f t="shared" si="1"/>
        <v>1</v>
      </c>
      <c r="AC21" s="9">
        <v>0</v>
      </c>
      <c r="AD21" s="1">
        <f t="shared" si="2"/>
        <v>2</v>
      </c>
      <c r="AE21" s="12">
        <f t="shared" si="3"/>
        <v>4</v>
      </c>
      <c r="AF21" s="13">
        <f t="shared" si="4"/>
        <v>0</v>
      </c>
    </row>
    <row r="22" spans="1:32">
      <c r="A22" t="s">
        <v>104</v>
      </c>
      <c r="B22" s="1">
        <v>2</v>
      </c>
      <c r="C22" s="1">
        <v>0</v>
      </c>
      <c r="D22" s="1">
        <v>5</v>
      </c>
      <c r="E22" s="1">
        <v>9</v>
      </c>
      <c r="F22" s="1">
        <v>0</v>
      </c>
      <c r="G22" s="1">
        <v>7</v>
      </c>
      <c r="H22" s="1">
        <v>0</v>
      </c>
      <c r="I22" s="1">
        <v>0</v>
      </c>
      <c r="J22" s="1">
        <v>1</v>
      </c>
      <c r="K22" s="1">
        <v>1</v>
      </c>
      <c r="L22" s="1">
        <v>1</v>
      </c>
      <c r="M22" s="1">
        <v>0</v>
      </c>
      <c r="N22" s="1">
        <v>0</v>
      </c>
      <c r="O22" s="1">
        <v>0</v>
      </c>
      <c r="P22" s="1">
        <v>0</v>
      </c>
      <c r="Q22" s="9">
        <v>0</v>
      </c>
      <c r="S22" s="9">
        <v>0</v>
      </c>
      <c r="T22" s="9">
        <v>0</v>
      </c>
      <c r="U22" s="9">
        <v>1</v>
      </c>
      <c r="V22" s="9">
        <v>1</v>
      </c>
      <c r="X22" s="9">
        <v>1</v>
      </c>
      <c r="Y22" s="1">
        <v>0</v>
      </c>
      <c r="Z22" s="1">
        <v>0</v>
      </c>
      <c r="AA22" s="14">
        <f t="shared" si="0"/>
        <v>0</v>
      </c>
      <c r="AB22" s="1">
        <f t="shared" si="1"/>
        <v>1</v>
      </c>
      <c r="AC22" s="9">
        <v>0</v>
      </c>
      <c r="AD22" s="1">
        <f t="shared" si="2"/>
        <v>1</v>
      </c>
      <c r="AE22" s="12">
        <f t="shared" si="3"/>
        <v>3</v>
      </c>
      <c r="AF22" s="13">
        <f t="shared" si="4"/>
        <v>0</v>
      </c>
    </row>
    <row r="23" spans="1:32">
      <c r="A23" t="s">
        <v>105</v>
      </c>
      <c r="B23" s="1">
        <v>0</v>
      </c>
      <c r="C23" s="1">
        <v>0</v>
      </c>
      <c r="D23" s="1">
        <v>30</v>
      </c>
      <c r="E23" s="1">
        <v>7</v>
      </c>
      <c r="F23" s="1">
        <v>30</v>
      </c>
      <c r="G23" s="1">
        <v>6</v>
      </c>
      <c r="H23" s="1">
        <v>30</v>
      </c>
      <c r="I23" s="1">
        <v>1</v>
      </c>
      <c r="J23" s="1">
        <v>2</v>
      </c>
      <c r="K23" s="1">
        <v>1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9">
        <v>0</v>
      </c>
      <c r="S23" s="9">
        <v>0</v>
      </c>
      <c r="T23" s="9">
        <v>1</v>
      </c>
      <c r="U23" s="9">
        <v>0</v>
      </c>
      <c r="V23" s="9">
        <v>1</v>
      </c>
      <c r="X23" s="9">
        <v>1</v>
      </c>
      <c r="Y23" s="1">
        <v>1</v>
      </c>
      <c r="Z23" s="1">
        <v>1</v>
      </c>
      <c r="AA23" s="14">
        <f t="shared" si="0"/>
        <v>0</v>
      </c>
      <c r="AB23" s="1">
        <f t="shared" si="1"/>
        <v>1</v>
      </c>
      <c r="AC23" s="9">
        <v>0</v>
      </c>
      <c r="AD23" s="1">
        <f t="shared" si="2"/>
        <v>1</v>
      </c>
      <c r="AE23" s="12">
        <f t="shared" si="3"/>
        <v>5</v>
      </c>
      <c r="AF23" s="13">
        <f t="shared" si="4"/>
        <v>1</v>
      </c>
    </row>
    <row r="24" spans="1:32">
      <c r="A24" t="s">
        <v>106</v>
      </c>
      <c r="B24" s="1">
        <v>23</v>
      </c>
      <c r="C24" s="1">
        <v>30</v>
      </c>
      <c r="D24" s="1">
        <v>1</v>
      </c>
      <c r="E24" s="1">
        <v>6</v>
      </c>
      <c r="F24" s="1">
        <v>13</v>
      </c>
      <c r="G24" s="1">
        <v>6</v>
      </c>
      <c r="H24" s="1">
        <v>0</v>
      </c>
      <c r="I24" s="1">
        <v>0</v>
      </c>
      <c r="J24" s="1">
        <v>2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9">
        <v>0</v>
      </c>
      <c r="S24" s="9">
        <v>0</v>
      </c>
      <c r="T24" s="9">
        <v>1</v>
      </c>
      <c r="U24" s="9">
        <v>1</v>
      </c>
      <c r="V24" s="9">
        <v>1</v>
      </c>
      <c r="X24" s="9">
        <v>1</v>
      </c>
      <c r="Y24" s="1">
        <v>0</v>
      </c>
      <c r="Z24" s="1">
        <v>1</v>
      </c>
      <c r="AA24" s="14">
        <f t="shared" si="0"/>
        <v>0</v>
      </c>
      <c r="AB24" s="1">
        <f t="shared" si="1"/>
        <v>1</v>
      </c>
      <c r="AC24" s="9">
        <v>0</v>
      </c>
      <c r="AD24" s="1">
        <f t="shared" si="2"/>
        <v>1</v>
      </c>
      <c r="AE24" s="12">
        <f t="shared" si="3"/>
        <v>4</v>
      </c>
      <c r="AF24" s="13">
        <f t="shared" si="4"/>
        <v>0</v>
      </c>
    </row>
    <row r="25" spans="1:32">
      <c r="A25" t="s">
        <v>107</v>
      </c>
      <c r="B25" s="1">
        <v>0</v>
      </c>
      <c r="C25" s="1">
        <v>20</v>
      </c>
      <c r="D25" s="1">
        <v>5</v>
      </c>
      <c r="E25" s="1">
        <v>7</v>
      </c>
      <c r="F25" s="1">
        <v>0</v>
      </c>
      <c r="G25" s="1">
        <v>7</v>
      </c>
      <c r="H25" s="1">
        <v>0</v>
      </c>
      <c r="I25" s="1">
        <v>0</v>
      </c>
      <c r="J25" s="1">
        <v>1</v>
      </c>
      <c r="K25" s="1">
        <v>1</v>
      </c>
      <c r="L25" s="1">
        <v>2</v>
      </c>
      <c r="M25" s="1">
        <v>2</v>
      </c>
      <c r="N25" s="1">
        <v>0</v>
      </c>
      <c r="O25" s="1">
        <v>2</v>
      </c>
      <c r="P25" s="1">
        <v>2</v>
      </c>
      <c r="Q25" s="9">
        <v>0</v>
      </c>
      <c r="S25" s="9">
        <v>0</v>
      </c>
      <c r="T25" s="9">
        <v>1</v>
      </c>
      <c r="U25" s="9">
        <v>0</v>
      </c>
      <c r="V25" s="9">
        <v>0</v>
      </c>
      <c r="X25" s="9">
        <v>0</v>
      </c>
      <c r="Y25" s="1">
        <v>0</v>
      </c>
      <c r="Z25" s="1">
        <v>0</v>
      </c>
      <c r="AA25" s="14">
        <f t="shared" si="0"/>
        <v>0</v>
      </c>
      <c r="AB25" s="1">
        <f t="shared" si="1"/>
        <v>2</v>
      </c>
      <c r="AC25" s="9">
        <v>0</v>
      </c>
      <c r="AD25" s="1">
        <f t="shared" si="2"/>
        <v>1</v>
      </c>
      <c r="AE25" s="12">
        <f t="shared" si="3"/>
        <v>3</v>
      </c>
      <c r="AF25" s="13">
        <f t="shared" si="4"/>
        <v>0</v>
      </c>
    </row>
    <row r="26" spans="1:32">
      <c r="A26" t="s">
        <v>108</v>
      </c>
      <c r="B26" s="1">
        <v>0</v>
      </c>
      <c r="C26" s="1">
        <v>30</v>
      </c>
      <c r="D26" s="1">
        <v>30</v>
      </c>
      <c r="E26" s="1">
        <v>8</v>
      </c>
      <c r="F26" s="1">
        <v>30</v>
      </c>
      <c r="G26" s="1">
        <v>6</v>
      </c>
      <c r="H26" s="1">
        <v>0</v>
      </c>
      <c r="I26" s="1">
        <v>1</v>
      </c>
      <c r="J26" s="1">
        <v>1</v>
      </c>
      <c r="K26" s="1">
        <v>1</v>
      </c>
      <c r="L26" s="1">
        <v>1</v>
      </c>
      <c r="M26" s="1">
        <v>2</v>
      </c>
      <c r="N26" s="1">
        <v>0</v>
      </c>
      <c r="O26" s="1">
        <v>0</v>
      </c>
      <c r="P26" s="1">
        <v>0</v>
      </c>
      <c r="Q26" s="9">
        <v>0</v>
      </c>
      <c r="S26" s="9">
        <v>0</v>
      </c>
      <c r="T26" s="9">
        <v>1</v>
      </c>
      <c r="U26" s="9">
        <v>1</v>
      </c>
      <c r="V26" s="9">
        <v>1</v>
      </c>
      <c r="X26" s="9">
        <v>1</v>
      </c>
      <c r="Y26" s="1">
        <v>1</v>
      </c>
      <c r="Z26" s="1">
        <v>1</v>
      </c>
      <c r="AA26" s="14">
        <f t="shared" si="0"/>
        <v>1</v>
      </c>
      <c r="AB26" s="1">
        <f t="shared" si="1"/>
        <v>1</v>
      </c>
      <c r="AC26" s="9">
        <v>0</v>
      </c>
      <c r="AD26" s="1">
        <f t="shared" si="2"/>
        <v>1</v>
      </c>
      <c r="AE26" s="12">
        <f t="shared" si="3"/>
        <v>6</v>
      </c>
      <c r="AF26" s="13">
        <f t="shared" si="4"/>
        <v>1</v>
      </c>
    </row>
    <row r="27" spans="1:32">
      <c r="A27" t="s">
        <v>109</v>
      </c>
      <c r="B27" s="1">
        <v>1</v>
      </c>
      <c r="C27" s="1">
        <v>0</v>
      </c>
      <c r="D27" s="1">
        <v>3</v>
      </c>
      <c r="E27" s="1">
        <v>9</v>
      </c>
      <c r="F27" s="1">
        <v>0</v>
      </c>
      <c r="G27" s="1">
        <v>8</v>
      </c>
      <c r="H27" s="1">
        <v>0</v>
      </c>
      <c r="I27" s="1">
        <v>1</v>
      </c>
      <c r="J27" s="1">
        <v>1</v>
      </c>
      <c r="K27" s="1">
        <v>0</v>
      </c>
      <c r="L27" s="1">
        <v>0</v>
      </c>
      <c r="M27" s="1">
        <v>2</v>
      </c>
      <c r="N27" s="1">
        <v>1</v>
      </c>
      <c r="O27" s="1">
        <v>2</v>
      </c>
      <c r="P27" s="1">
        <v>0</v>
      </c>
      <c r="Q27" s="9">
        <v>0</v>
      </c>
      <c r="S27" s="9">
        <v>0</v>
      </c>
      <c r="T27" s="9">
        <v>1</v>
      </c>
      <c r="U27" s="9">
        <v>1</v>
      </c>
      <c r="V27" s="9">
        <v>0</v>
      </c>
      <c r="X27" s="9">
        <v>0</v>
      </c>
      <c r="Y27" s="1">
        <v>1</v>
      </c>
      <c r="Z27" s="1">
        <v>0</v>
      </c>
      <c r="AA27" s="14">
        <f t="shared" si="0"/>
        <v>0</v>
      </c>
      <c r="AB27" s="1">
        <f t="shared" si="1"/>
        <v>1</v>
      </c>
      <c r="AC27" s="9">
        <v>0</v>
      </c>
      <c r="AD27" s="1">
        <f t="shared" si="2"/>
        <v>1</v>
      </c>
      <c r="AE27" s="12">
        <f t="shared" si="3"/>
        <v>3</v>
      </c>
      <c r="AF27" s="13">
        <f t="shared" si="4"/>
        <v>0</v>
      </c>
    </row>
    <row r="28" spans="1:32">
      <c r="A28" t="s">
        <v>110</v>
      </c>
      <c r="B28" s="1">
        <v>0</v>
      </c>
      <c r="C28" s="1">
        <v>20</v>
      </c>
      <c r="D28" s="1">
        <v>15</v>
      </c>
      <c r="E28" s="1">
        <v>7</v>
      </c>
      <c r="F28" s="1">
        <v>50</v>
      </c>
      <c r="G28" s="1">
        <v>7</v>
      </c>
      <c r="H28" s="1">
        <v>30</v>
      </c>
      <c r="I28" s="1">
        <v>1</v>
      </c>
      <c r="J28" s="1">
        <v>2</v>
      </c>
      <c r="K28" s="1">
        <v>1</v>
      </c>
      <c r="L28" s="1">
        <v>0</v>
      </c>
      <c r="M28" s="1">
        <v>0</v>
      </c>
      <c r="N28" s="1">
        <v>0</v>
      </c>
      <c r="O28" s="1">
        <v>0</v>
      </c>
      <c r="P28" s="1">
        <v>2</v>
      </c>
      <c r="Q28" s="9">
        <v>0</v>
      </c>
      <c r="S28" s="9">
        <v>0</v>
      </c>
      <c r="T28" s="9">
        <v>0</v>
      </c>
      <c r="U28" s="9">
        <v>1</v>
      </c>
      <c r="V28" s="9">
        <v>1</v>
      </c>
      <c r="X28" s="9">
        <v>1</v>
      </c>
      <c r="Y28" s="1">
        <v>1</v>
      </c>
      <c r="Z28" s="1">
        <v>0</v>
      </c>
      <c r="AA28" s="14">
        <f t="shared" si="0"/>
        <v>0</v>
      </c>
      <c r="AB28" s="1">
        <f t="shared" si="1"/>
        <v>1</v>
      </c>
      <c r="AC28" s="9">
        <v>0</v>
      </c>
      <c r="AD28" s="1">
        <f t="shared" si="2"/>
        <v>1</v>
      </c>
      <c r="AE28" s="12">
        <f t="shared" si="3"/>
        <v>4</v>
      </c>
      <c r="AF28" s="13">
        <f t="shared" si="4"/>
        <v>0</v>
      </c>
    </row>
    <row r="29" spans="1:32">
      <c r="A29" t="s">
        <v>111</v>
      </c>
      <c r="B29" s="1">
        <v>1</v>
      </c>
      <c r="C29" s="1">
        <v>20</v>
      </c>
      <c r="D29" s="1">
        <v>60</v>
      </c>
      <c r="E29" s="1">
        <v>8</v>
      </c>
      <c r="F29" s="1">
        <v>30</v>
      </c>
      <c r="G29" s="1">
        <v>6</v>
      </c>
      <c r="H29" s="1">
        <v>10</v>
      </c>
      <c r="I29" s="1">
        <v>3</v>
      </c>
      <c r="J29" s="1">
        <v>1</v>
      </c>
      <c r="K29" s="1">
        <v>0</v>
      </c>
      <c r="L29" s="1">
        <v>1</v>
      </c>
      <c r="M29" s="1">
        <v>1</v>
      </c>
      <c r="N29" s="1">
        <v>0</v>
      </c>
      <c r="O29" s="1">
        <v>3</v>
      </c>
      <c r="P29" s="1">
        <v>0</v>
      </c>
      <c r="Q29" s="9">
        <v>3</v>
      </c>
      <c r="S29" s="9">
        <v>0</v>
      </c>
      <c r="T29" s="9">
        <v>0</v>
      </c>
      <c r="U29" s="9">
        <v>1</v>
      </c>
      <c r="V29" s="9">
        <v>2</v>
      </c>
      <c r="X29" s="9">
        <v>2</v>
      </c>
      <c r="Y29" s="1">
        <v>3</v>
      </c>
      <c r="Z29" s="1">
        <v>1</v>
      </c>
      <c r="AA29" s="14">
        <f t="shared" si="0"/>
        <v>0</v>
      </c>
      <c r="AB29" s="1">
        <f t="shared" si="1"/>
        <v>1</v>
      </c>
      <c r="AC29" s="9">
        <v>0</v>
      </c>
      <c r="AD29" s="1">
        <f t="shared" si="2"/>
        <v>1</v>
      </c>
      <c r="AE29" s="12">
        <f t="shared" si="3"/>
        <v>8</v>
      </c>
      <c r="AF29" s="13">
        <f t="shared" si="4"/>
        <v>1</v>
      </c>
    </row>
    <row r="30" spans="1:32">
      <c r="A30" t="s">
        <v>112</v>
      </c>
      <c r="B30" s="1">
        <v>1</v>
      </c>
      <c r="C30" s="1">
        <v>20</v>
      </c>
      <c r="D30" s="1">
        <v>3</v>
      </c>
      <c r="E30" s="1">
        <v>9</v>
      </c>
      <c r="F30" s="1">
        <v>0</v>
      </c>
      <c r="G30" s="1">
        <v>7</v>
      </c>
      <c r="H30" s="1">
        <v>30</v>
      </c>
      <c r="I30" s="1">
        <v>1</v>
      </c>
      <c r="J30" s="1">
        <v>1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1</v>
      </c>
      <c r="Q30" s="9">
        <v>0</v>
      </c>
      <c r="S30" s="9">
        <v>0</v>
      </c>
      <c r="T30" s="9">
        <v>0</v>
      </c>
      <c r="U30" s="9">
        <v>1</v>
      </c>
      <c r="V30" s="9">
        <v>0</v>
      </c>
      <c r="X30" s="9">
        <v>0</v>
      </c>
      <c r="Y30" s="1">
        <v>1</v>
      </c>
      <c r="Z30" s="1">
        <v>0</v>
      </c>
      <c r="AA30" s="14">
        <f t="shared" si="0"/>
        <v>0</v>
      </c>
      <c r="AB30" s="1">
        <f t="shared" si="1"/>
        <v>1</v>
      </c>
      <c r="AC30" s="9">
        <v>0</v>
      </c>
      <c r="AD30" s="1">
        <f t="shared" si="2"/>
        <v>1</v>
      </c>
      <c r="AE30" s="12">
        <f t="shared" si="3"/>
        <v>3</v>
      </c>
      <c r="AF30" s="13">
        <f t="shared" si="4"/>
        <v>0</v>
      </c>
    </row>
    <row r="31" spans="1:32">
      <c r="A31" t="s">
        <v>113</v>
      </c>
      <c r="B31" s="1">
        <v>5</v>
      </c>
      <c r="C31" s="1">
        <v>0</v>
      </c>
      <c r="D31" s="1">
        <v>60</v>
      </c>
      <c r="E31" s="1">
        <v>10</v>
      </c>
      <c r="F31" s="1">
        <v>0</v>
      </c>
      <c r="G31" s="1">
        <v>1</v>
      </c>
      <c r="H31" s="1">
        <v>0</v>
      </c>
      <c r="I31" s="1">
        <v>3</v>
      </c>
      <c r="J31" s="1">
        <v>2</v>
      </c>
      <c r="K31" s="1">
        <v>0</v>
      </c>
      <c r="L31" s="1">
        <v>0</v>
      </c>
      <c r="M31" s="1">
        <v>1</v>
      </c>
      <c r="N31" s="1">
        <v>1</v>
      </c>
      <c r="O31" s="1">
        <v>0</v>
      </c>
      <c r="P31" s="1">
        <v>0</v>
      </c>
      <c r="Q31" s="9">
        <v>0</v>
      </c>
      <c r="S31" s="9">
        <v>0</v>
      </c>
      <c r="T31" s="9">
        <v>1</v>
      </c>
      <c r="U31" s="9">
        <v>1</v>
      </c>
      <c r="V31" s="9">
        <v>2</v>
      </c>
      <c r="X31" s="9">
        <v>2</v>
      </c>
      <c r="Y31" s="1">
        <v>3</v>
      </c>
      <c r="Z31" s="1">
        <v>3</v>
      </c>
      <c r="AA31" s="14">
        <f t="shared" si="0"/>
        <v>3</v>
      </c>
      <c r="AB31" s="1">
        <f t="shared" si="1"/>
        <v>1</v>
      </c>
      <c r="AC31" s="9">
        <v>0</v>
      </c>
      <c r="AD31" s="1">
        <f t="shared" si="2"/>
        <v>1</v>
      </c>
      <c r="AE31" s="12">
        <f t="shared" si="3"/>
        <v>13</v>
      </c>
      <c r="AF31" s="13">
        <f t="shared" si="4"/>
        <v>1</v>
      </c>
    </row>
    <row r="32" spans="1:32">
      <c r="A32" t="s">
        <v>114</v>
      </c>
      <c r="B32" s="1">
        <v>4</v>
      </c>
      <c r="C32" s="1">
        <v>30</v>
      </c>
      <c r="D32" s="1">
        <v>15</v>
      </c>
      <c r="E32" s="1">
        <v>12</v>
      </c>
      <c r="F32" s="1">
        <v>30</v>
      </c>
      <c r="G32" s="1">
        <v>8</v>
      </c>
      <c r="H32" s="1">
        <v>0</v>
      </c>
      <c r="I32" s="1">
        <v>1</v>
      </c>
      <c r="J32" s="1">
        <v>2</v>
      </c>
      <c r="K32" s="1">
        <v>1</v>
      </c>
      <c r="L32" s="1">
        <v>0</v>
      </c>
      <c r="M32" s="1">
        <v>0</v>
      </c>
      <c r="N32" s="1">
        <v>0</v>
      </c>
      <c r="O32" s="1">
        <v>3</v>
      </c>
      <c r="P32" s="1">
        <v>0</v>
      </c>
      <c r="Q32" s="9">
        <v>1</v>
      </c>
      <c r="S32" s="9">
        <v>0</v>
      </c>
      <c r="T32" s="9">
        <v>0</v>
      </c>
      <c r="U32" s="9">
        <v>1</v>
      </c>
      <c r="V32" s="9">
        <v>1</v>
      </c>
      <c r="X32" s="9">
        <v>1</v>
      </c>
      <c r="Y32" s="1">
        <v>1</v>
      </c>
      <c r="Z32" s="1">
        <v>0</v>
      </c>
      <c r="AA32" s="14">
        <f t="shared" si="0"/>
        <v>0</v>
      </c>
      <c r="AB32" s="1">
        <f t="shared" si="1"/>
        <v>1</v>
      </c>
      <c r="AC32" s="9">
        <v>0</v>
      </c>
      <c r="AD32" s="1">
        <f t="shared" si="2"/>
        <v>1</v>
      </c>
      <c r="AE32" s="12">
        <f t="shared" si="3"/>
        <v>4</v>
      </c>
      <c r="AF32" s="13">
        <f t="shared" si="4"/>
        <v>0</v>
      </c>
    </row>
    <row r="33" spans="1:32">
      <c r="A33" t="s">
        <v>115</v>
      </c>
      <c r="B33" s="1">
        <v>3</v>
      </c>
      <c r="C33" s="1">
        <v>30</v>
      </c>
      <c r="D33" s="1">
        <v>10</v>
      </c>
      <c r="E33" s="1">
        <v>11</v>
      </c>
      <c r="F33" s="1">
        <v>30</v>
      </c>
      <c r="G33" s="1">
        <v>8</v>
      </c>
      <c r="H33" s="1">
        <v>0</v>
      </c>
      <c r="I33" s="1">
        <v>1</v>
      </c>
      <c r="J33" s="1">
        <v>2</v>
      </c>
      <c r="K33" s="1">
        <v>0</v>
      </c>
      <c r="L33" s="1">
        <v>0</v>
      </c>
      <c r="M33" s="1">
        <v>0</v>
      </c>
      <c r="N33" s="1">
        <v>1</v>
      </c>
      <c r="O33" s="1">
        <v>1</v>
      </c>
      <c r="P33" s="1">
        <v>0</v>
      </c>
      <c r="Q33" s="9">
        <v>0</v>
      </c>
      <c r="S33" s="9">
        <v>0</v>
      </c>
      <c r="T33" s="9">
        <v>1</v>
      </c>
      <c r="U33" s="9">
        <v>1</v>
      </c>
      <c r="V33" s="9">
        <v>1</v>
      </c>
      <c r="X33" s="9">
        <v>1</v>
      </c>
      <c r="Y33" s="1">
        <v>1</v>
      </c>
      <c r="Z33" s="1">
        <v>0</v>
      </c>
      <c r="AA33" s="14">
        <f t="shared" si="0"/>
        <v>0</v>
      </c>
      <c r="AB33" s="1">
        <f t="shared" si="1"/>
        <v>1</v>
      </c>
      <c r="AC33" s="9">
        <v>0</v>
      </c>
      <c r="AD33" s="1">
        <f t="shared" si="2"/>
        <v>1</v>
      </c>
      <c r="AE33" s="12">
        <f t="shared" si="3"/>
        <v>4</v>
      </c>
      <c r="AF33" s="13">
        <f t="shared" si="4"/>
        <v>0</v>
      </c>
    </row>
    <row r="34" spans="1:32">
      <c r="A34" t="s">
        <v>116</v>
      </c>
      <c r="B34" s="1">
        <v>2</v>
      </c>
      <c r="C34" s="1">
        <v>0</v>
      </c>
      <c r="D34" s="1">
        <v>30</v>
      </c>
      <c r="E34" s="1">
        <v>10</v>
      </c>
      <c r="F34" s="1">
        <v>30</v>
      </c>
      <c r="G34" s="1">
        <v>7</v>
      </c>
      <c r="H34" s="1">
        <v>0</v>
      </c>
      <c r="I34" s="1">
        <v>2</v>
      </c>
      <c r="J34" s="1">
        <v>1</v>
      </c>
      <c r="K34" s="1">
        <v>0</v>
      </c>
      <c r="L34" s="1">
        <v>1</v>
      </c>
      <c r="M34" s="1">
        <v>1</v>
      </c>
      <c r="N34" s="1">
        <v>0</v>
      </c>
      <c r="O34" s="1">
        <v>2</v>
      </c>
      <c r="P34" s="1">
        <v>0</v>
      </c>
      <c r="Q34" s="9">
        <v>0</v>
      </c>
      <c r="S34" s="9">
        <v>0</v>
      </c>
      <c r="T34" s="9">
        <v>1</v>
      </c>
      <c r="U34" s="9">
        <v>1</v>
      </c>
      <c r="V34" s="9">
        <v>2</v>
      </c>
      <c r="X34" s="9">
        <v>2</v>
      </c>
      <c r="Y34" s="1">
        <v>2</v>
      </c>
      <c r="Z34" s="1">
        <v>0</v>
      </c>
      <c r="AA34" s="14">
        <f t="shared" si="0"/>
        <v>1</v>
      </c>
      <c r="AB34" s="1">
        <f t="shared" si="1"/>
        <v>1</v>
      </c>
      <c r="AC34" s="9">
        <v>0</v>
      </c>
      <c r="AD34" s="1">
        <f t="shared" si="2"/>
        <v>1</v>
      </c>
      <c r="AE34" s="12">
        <f t="shared" si="3"/>
        <v>7</v>
      </c>
      <c r="AF34" s="13">
        <f t="shared" si="4"/>
        <v>1</v>
      </c>
    </row>
    <row r="35" spans="1:32">
      <c r="A35" t="s">
        <v>117</v>
      </c>
      <c r="B35" s="1">
        <v>1</v>
      </c>
      <c r="C35" s="1">
        <v>30</v>
      </c>
      <c r="D35" s="1">
        <v>15</v>
      </c>
      <c r="E35" s="1">
        <v>12</v>
      </c>
      <c r="F35" s="1">
        <v>0</v>
      </c>
      <c r="G35" s="1">
        <v>9</v>
      </c>
      <c r="H35" s="1">
        <v>0</v>
      </c>
      <c r="I35" s="1">
        <v>1</v>
      </c>
      <c r="J35" s="1">
        <v>1</v>
      </c>
      <c r="K35" s="1">
        <v>1</v>
      </c>
      <c r="L35" s="1">
        <v>0</v>
      </c>
      <c r="M35" s="1">
        <v>1</v>
      </c>
      <c r="N35" s="1">
        <v>1</v>
      </c>
      <c r="O35" s="1">
        <v>1</v>
      </c>
      <c r="P35" s="1">
        <v>1</v>
      </c>
      <c r="Q35" s="9">
        <v>0</v>
      </c>
      <c r="S35" s="9">
        <v>0</v>
      </c>
      <c r="T35" s="9">
        <v>1</v>
      </c>
      <c r="U35" s="9">
        <v>1</v>
      </c>
      <c r="V35" s="9">
        <v>0</v>
      </c>
      <c r="X35" s="9">
        <v>0</v>
      </c>
      <c r="Y35" s="1">
        <v>1</v>
      </c>
      <c r="Z35" s="1">
        <v>0</v>
      </c>
      <c r="AA35" s="14">
        <f t="shared" si="0"/>
        <v>0</v>
      </c>
      <c r="AB35" s="1">
        <f t="shared" si="1"/>
        <v>1</v>
      </c>
      <c r="AC35" s="9">
        <v>0</v>
      </c>
      <c r="AD35" s="1">
        <f t="shared" si="2"/>
        <v>1</v>
      </c>
      <c r="AE35" s="12">
        <f t="shared" si="3"/>
        <v>3</v>
      </c>
      <c r="AF35" s="13">
        <f t="shared" si="4"/>
        <v>0</v>
      </c>
    </row>
    <row r="36" spans="1:32">
      <c r="A36" t="s">
        <v>118</v>
      </c>
      <c r="B36" s="1">
        <v>1</v>
      </c>
      <c r="C36" s="1">
        <v>30</v>
      </c>
      <c r="D36" s="1">
        <v>15</v>
      </c>
      <c r="E36" s="1">
        <v>10</v>
      </c>
      <c r="F36" s="1">
        <v>30</v>
      </c>
      <c r="G36" s="1">
        <v>6</v>
      </c>
      <c r="H36" s="1">
        <v>0</v>
      </c>
      <c r="I36" s="1">
        <v>0</v>
      </c>
      <c r="J36" s="1">
        <v>2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1</v>
      </c>
      <c r="Q36" s="9">
        <v>0</v>
      </c>
      <c r="S36" s="9">
        <v>0</v>
      </c>
      <c r="T36" s="9">
        <v>0</v>
      </c>
      <c r="U36" s="9">
        <v>1</v>
      </c>
      <c r="V36" s="9">
        <v>0</v>
      </c>
      <c r="X36" s="9">
        <v>0</v>
      </c>
      <c r="Y36" s="1">
        <v>0</v>
      </c>
      <c r="Z36" s="1">
        <v>1</v>
      </c>
      <c r="AA36" s="14">
        <f t="shared" si="0"/>
        <v>2</v>
      </c>
      <c r="AB36" s="1">
        <f t="shared" si="1"/>
        <v>1</v>
      </c>
      <c r="AC36" s="9">
        <v>0</v>
      </c>
      <c r="AD36" s="1">
        <f t="shared" si="2"/>
        <v>1</v>
      </c>
      <c r="AE36" s="12">
        <f t="shared" si="3"/>
        <v>5</v>
      </c>
      <c r="AF36" s="13">
        <f t="shared" si="4"/>
        <v>1</v>
      </c>
    </row>
    <row r="37" spans="1:32">
      <c r="A37" t="s">
        <v>119</v>
      </c>
      <c r="B37" s="1">
        <v>3</v>
      </c>
      <c r="C37" s="1">
        <v>30</v>
      </c>
      <c r="D37" s="1">
        <v>50</v>
      </c>
      <c r="E37" s="1">
        <v>10</v>
      </c>
      <c r="F37" s="1">
        <v>0</v>
      </c>
      <c r="G37" s="1">
        <v>6</v>
      </c>
      <c r="H37" s="1">
        <v>0</v>
      </c>
      <c r="I37" s="1">
        <v>2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2</v>
      </c>
      <c r="P37" s="1">
        <v>1</v>
      </c>
      <c r="Q37" s="9">
        <v>0</v>
      </c>
      <c r="S37" s="9">
        <v>0</v>
      </c>
      <c r="T37" s="9">
        <v>0</v>
      </c>
      <c r="U37" s="9">
        <v>1</v>
      </c>
      <c r="V37" s="9">
        <v>1</v>
      </c>
      <c r="X37" s="9">
        <v>1</v>
      </c>
      <c r="Y37" s="1">
        <v>2</v>
      </c>
      <c r="Z37" s="1">
        <v>1</v>
      </c>
      <c r="AA37" s="14">
        <f t="shared" si="0"/>
        <v>0</v>
      </c>
      <c r="AB37" s="1">
        <f t="shared" si="1"/>
        <v>1</v>
      </c>
      <c r="AC37" s="9">
        <v>0</v>
      </c>
      <c r="AD37" s="1">
        <f t="shared" si="2"/>
        <v>1</v>
      </c>
      <c r="AE37" s="12">
        <f t="shared" si="3"/>
        <v>6</v>
      </c>
      <c r="AF37" s="13">
        <f t="shared" si="4"/>
        <v>1</v>
      </c>
    </row>
    <row r="38" spans="1:32">
      <c r="A38" t="s">
        <v>120</v>
      </c>
      <c r="B38" s="1">
        <v>23</v>
      </c>
      <c r="C38" s="1">
        <v>30</v>
      </c>
      <c r="D38" s="1">
        <v>15</v>
      </c>
      <c r="E38" s="1">
        <v>7</v>
      </c>
      <c r="F38" s="1">
        <v>50</v>
      </c>
      <c r="G38" s="1">
        <v>8</v>
      </c>
      <c r="H38" s="1">
        <v>0</v>
      </c>
      <c r="I38" s="1">
        <v>2</v>
      </c>
      <c r="J38" s="1">
        <v>1</v>
      </c>
      <c r="K38" s="1">
        <v>1</v>
      </c>
      <c r="L38" s="1">
        <v>0</v>
      </c>
      <c r="M38" s="1">
        <v>1</v>
      </c>
      <c r="N38" s="1">
        <v>1</v>
      </c>
      <c r="O38" s="1">
        <v>1</v>
      </c>
      <c r="P38" s="1">
        <v>1</v>
      </c>
      <c r="Q38" s="9">
        <v>1</v>
      </c>
      <c r="S38" s="9">
        <v>1</v>
      </c>
      <c r="T38" s="9">
        <v>1</v>
      </c>
      <c r="U38" s="9">
        <v>1</v>
      </c>
      <c r="V38" s="9">
        <v>1</v>
      </c>
      <c r="X38" s="9">
        <v>1</v>
      </c>
      <c r="Y38" s="1">
        <v>1</v>
      </c>
      <c r="Z38" s="1">
        <v>0</v>
      </c>
      <c r="AA38" s="14">
        <f t="shared" si="0"/>
        <v>0</v>
      </c>
      <c r="AB38" s="1">
        <f t="shared" si="1"/>
        <v>1</v>
      </c>
      <c r="AC38" s="9">
        <v>1</v>
      </c>
      <c r="AD38" s="1">
        <f t="shared" si="2"/>
        <v>1</v>
      </c>
      <c r="AE38" s="12">
        <f t="shared" si="3"/>
        <v>5</v>
      </c>
      <c r="AF38" s="13">
        <f t="shared" si="4"/>
        <v>1</v>
      </c>
    </row>
    <row r="39" spans="1:32">
      <c r="A39" t="s">
        <v>121</v>
      </c>
      <c r="B39" s="1">
        <v>3</v>
      </c>
      <c r="C39" s="1">
        <v>0</v>
      </c>
      <c r="D39" s="1">
        <v>60</v>
      </c>
      <c r="E39" s="1">
        <v>10</v>
      </c>
      <c r="F39" s="1">
        <v>0</v>
      </c>
      <c r="G39" s="1">
        <v>7</v>
      </c>
      <c r="H39" s="1">
        <v>0</v>
      </c>
      <c r="I39" s="1">
        <v>2</v>
      </c>
      <c r="J39" s="1">
        <v>1</v>
      </c>
      <c r="K39" s="1">
        <v>1</v>
      </c>
      <c r="L39" s="1">
        <v>2</v>
      </c>
      <c r="M39" s="1">
        <v>0</v>
      </c>
      <c r="N39" s="1">
        <v>1</v>
      </c>
      <c r="O39" s="1">
        <v>1</v>
      </c>
      <c r="P39" s="1">
        <v>2</v>
      </c>
      <c r="Q39" s="9">
        <v>0</v>
      </c>
      <c r="S39" s="9">
        <v>1</v>
      </c>
      <c r="T39" s="9">
        <v>2</v>
      </c>
      <c r="U39" s="9">
        <v>2</v>
      </c>
      <c r="V39" s="9">
        <v>2</v>
      </c>
      <c r="X39" s="9">
        <v>2</v>
      </c>
      <c r="Y39" s="1">
        <v>2</v>
      </c>
      <c r="Z39" s="1">
        <v>0</v>
      </c>
      <c r="AA39" s="14">
        <f t="shared" si="0"/>
        <v>0</v>
      </c>
      <c r="AB39" s="1">
        <f t="shared" si="1"/>
        <v>1</v>
      </c>
      <c r="AC39" s="9">
        <v>1</v>
      </c>
      <c r="AD39" s="1">
        <f t="shared" si="2"/>
        <v>2</v>
      </c>
      <c r="AE39" s="12">
        <f t="shared" si="3"/>
        <v>8</v>
      </c>
      <c r="AF39" s="13">
        <f t="shared" si="4"/>
        <v>1</v>
      </c>
    </row>
    <row r="40" spans="1:32">
      <c r="A40" t="s">
        <v>122</v>
      </c>
      <c r="B40" s="1">
        <v>1</v>
      </c>
      <c r="C40" s="1">
        <v>30</v>
      </c>
      <c r="D40" s="1">
        <v>60</v>
      </c>
      <c r="E40" s="1">
        <v>9</v>
      </c>
      <c r="F40" s="1">
        <v>30</v>
      </c>
      <c r="G40" s="1">
        <v>6</v>
      </c>
      <c r="H40" s="1">
        <v>0</v>
      </c>
      <c r="I40" s="1">
        <v>3</v>
      </c>
      <c r="J40" s="1">
        <v>3</v>
      </c>
      <c r="K40" s="1">
        <v>0</v>
      </c>
      <c r="L40" s="1">
        <v>0</v>
      </c>
      <c r="M40" s="1">
        <v>0</v>
      </c>
      <c r="N40" s="1">
        <v>0</v>
      </c>
      <c r="O40" s="1">
        <v>1</v>
      </c>
      <c r="P40" s="1">
        <v>1</v>
      </c>
      <c r="Q40" s="9">
        <v>0</v>
      </c>
      <c r="S40" s="9">
        <v>0</v>
      </c>
      <c r="T40" s="9">
        <v>0</v>
      </c>
      <c r="U40" s="9">
        <v>0</v>
      </c>
      <c r="V40" s="9">
        <v>1</v>
      </c>
      <c r="X40" s="9">
        <v>1</v>
      </c>
      <c r="Y40" s="1">
        <v>3</v>
      </c>
      <c r="Z40" s="1">
        <v>1</v>
      </c>
      <c r="AA40" s="14">
        <f t="shared" si="0"/>
        <v>1</v>
      </c>
      <c r="AB40" s="1">
        <f t="shared" si="1"/>
        <v>1</v>
      </c>
      <c r="AC40" s="9">
        <v>0</v>
      </c>
      <c r="AD40" s="1">
        <f t="shared" si="2"/>
        <v>0</v>
      </c>
      <c r="AE40" s="12">
        <f t="shared" si="3"/>
        <v>7</v>
      </c>
      <c r="AF40" s="13">
        <f t="shared" si="4"/>
        <v>1</v>
      </c>
    </row>
    <row r="41" spans="1:32">
      <c r="A41" t="s">
        <v>123</v>
      </c>
      <c r="B41" s="1">
        <v>2</v>
      </c>
      <c r="C41" s="1">
        <v>0</v>
      </c>
      <c r="D41" s="1">
        <v>10</v>
      </c>
      <c r="E41" s="1">
        <v>9</v>
      </c>
      <c r="F41" s="1">
        <v>0</v>
      </c>
      <c r="G41" s="1">
        <v>7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9">
        <v>0</v>
      </c>
      <c r="S41" s="9">
        <v>0</v>
      </c>
      <c r="T41" s="9">
        <v>0</v>
      </c>
      <c r="U41" s="9">
        <v>0</v>
      </c>
      <c r="V41" s="9">
        <v>0</v>
      </c>
      <c r="X41" s="9">
        <v>0</v>
      </c>
      <c r="Y41" s="1">
        <v>0</v>
      </c>
      <c r="Z41" s="1">
        <v>0</v>
      </c>
      <c r="AA41" s="14">
        <f t="shared" si="0"/>
        <v>0</v>
      </c>
      <c r="AB41" s="1">
        <f t="shared" si="1"/>
        <v>0</v>
      </c>
      <c r="AC41" s="9">
        <v>0</v>
      </c>
      <c r="AD41" s="1">
        <f t="shared" si="2"/>
        <v>0</v>
      </c>
      <c r="AE41" s="12">
        <f t="shared" si="3"/>
        <v>0</v>
      </c>
      <c r="AF41" s="13">
        <f t="shared" si="4"/>
        <v>0</v>
      </c>
    </row>
    <row r="42" spans="1:32">
      <c r="A42" t="s">
        <v>124</v>
      </c>
      <c r="B42" s="1">
        <v>2</v>
      </c>
      <c r="C42" s="1">
        <v>30</v>
      </c>
      <c r="D42" s="1">
        <v>5</v>
      </c>
      <c r="E42" s="1">
        <v>9</v>
      </c>
      <c r="F42" s="1">
        <v>50</v>
      </c>
      <c r="G42" s="1">
        <v>4</v>
      </c>
      <c r="H42" s="1">
        <v>50</v>
      </c>
      <c r="I42" s="1">
        <v>0</v>
      </c>
      <c r="J42" s="1">
        <v>1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9">
        <v>1</v>
      </c>
      <c r="S42" s="9">
        <v>0</v>
      </c>
      <c r="T42" s="9">
        <v>0</v>
      </c>
      <c r="U42" s="9">
        <v>0</v>
      </c>
      <c r="V42" s="9">
        <v>2</v>
      </c>
      <c r="X42" s="9">
        <v>2</v>
      </c>
      <c r="Y42" s="1">
        <v>0</v>
      </c>
      <c r="Z42" s="1">
        <v>3</v>
      </c>
      <c r="AA42" s="14">
        <f t="shared" si="0"/>
        <v>2</v>
      </c>
      <c r="AB42" s="1">
        <f t="shared" si="1"/>
        <v>1</v>
      </c>
      <c r="AC42" s="9">
        <v>0</v>
      </c>
      <c r="AD42" s="1">
        <f t="shared" si="2"/>
        <v>0</v>
      </c>
      <c r="AE42" s="12">
        <f t="shared" si="3"/>
        <v>8</v>
      </c>
      <c r="AF42" s="13">
        <f t="shared" si="4"/>
        <v>1</v>
      </c>
    </row>
    <row r="43" spans="1:32">
      <c r="A43" t="s">
        <v>125</v>
      </c>
      <c r="B43" s="1">
        <v>22</v>
      </c>
      <c r="C43" s="1">
        <v>30</v>
      </c>
      <c r="D43" s="1">
        <v>40</v>
      </c>
      <c r="E43" s="1">
        <v>7</v>
      </c>
      <c r="F43" s="1">
        <v>0</v>
      </c>
      <c r="G43" s="1">
        <v>6</v>
      </c>
      <c r="H43" s="1">
        <v>0</v>
      </c>
      <c r="I43" s="1">
        <v>3</v>
      </c>
      <c r="J43" s="1">
        <v>3</v>
      </c>
      <c r="K43" s="1">
        <v>2</v>
      </c>
      <c r="L43" s="1">
        <v>1</v>
      </c>
      <c r="M43" s="1">
        <v>0</v>
      </c>
      <c r="N43" s="1">
        <v>0</v>
      </c>
      <c r="O43" s="1">
        <v>0</v>
      </c>
      <c r="P43" s="1">
        <v>0</v>
      </c>
      <c r="Q43" s="9">
        <v>0</v>
      </c>
      <c r="S43" s="9">
        <v>0</v>
      </c>
      <c r="T43" s="9">
        <v>1</v>
      </c>
      <c r="U43" s="9">
        <v>0</v>
      </c>
      <c r="V43" s="9">
        <v>1</v>
      </c>
      <c r="X43" s="9">
        <v>1</v>
      </c>
      <c r="Y43" s="1">
        <v>3</v>
      </c>
      <c r="Z43" s="1">
        <v>1</v>
      </c>
      <c r="AA43" s="14">
        <f t="shared" si="0"/>
        <v>2</v>
      </c>
      <c r="AB43" s="1">
        <f t="shared" si="1"/>
        <v>1</v>
      </c>
      <c r="AC43" s="9">
        <v>0</v>
      </c>
      <c r="AD43" s="1">
        <f t="shared" si="2"/>
        <v>1</v>
      </c>
      <c r="AE43" s="12">
        <f t="shared" si="3"/>
        <v>9</v>
      </c>
      <c r="AF43" s="13">
        <f t="shared" si="4"/>
        <v>1</v>
      </c>
    </row>
    <row r="44" spans="1:32">
      <c r="A44" t="s">
        <v>126</v>
      </c>
      <c r="B44" s="1">
        <v>22</v>
      </c>
      <c r="C44" s="1">
        <v>0</v>
      </c>
      <c r="D44" s="1">
        <v>15</v>
      </c>
      <c r="E44" s="1">
        <v>6</v>
      </c>
      <c r="F44" s="1">
        <v>0</v>
      </c>
      <c r="G44" s="1">
        <v>7</v>
      </c>
      <c r="H44" s="1">
        <v>0</v>
      </c>
      <c r="I44" s="1">
        <v>1</v>
      </c>
      <c r="J44" s="1">
        <v>3</v>
      </c>
      <c r="K44" s="1">
        <v>3</v>
      </c>
      <c r="L44" s="1">
        <v>0</v>
      </c>
      <c r="M44" s="1">
        <v>2</v>
      </c>
      <c r="N44" s="1">
        <v>1</v>
      </c>
      <c r="O44" s="1">
        <v>1</v>
      </c>
      <c r="P44" s="1">
        <v>0</v>
      </c>
      <c r="Q44" s="9">
        <v>1</v>
      </c>
      <c r="S44" s="9">
        <v>0</v>
      </c>
      <c r="T44" s="9">
        <v>1</v>
      </c>
      <c r="U44" s="9">
        <v>1</v>
      </c>
      <c r="V44" s="9">
        <v>2</v>
      </c>
      <c r="X44" s="9">
        <v>2</v>
      </c>
      <c r="Y44" s="1">
        <v>1</v>
      </c>
      <c r="Z44" s="1">
        <v>0</v>
      </c>
      <c r="AA44" s="14">
        <f t="shared" si="0"/>
        <v>0</v>
      </c>
      <c r="AB44" s="1">
        <f t="shared" si="1"/>
        <v>2</v>
      </c>
      <c r="AC44" s="9">
        <v>0</v>
      </c>
      <c r="AD44" s="1">
        <f t="shared" si="2"/>
        <v>1</v>
      </c>
      <c r="AE44" s="12">
        <f t="shared" si="3"/>
        <v>6</v>
      </c>
      <c r="AF44" s="13">
        <f t="shared" si="4"/>
        <v>1</v>
      </c>
    </row>
    <row r="45" spans="1:32">
      <c r="A45" t="s">
        <v>127</v>
      </c>
      <c r="B45" s="1">
        <v>0</v>
      </c>
      <c r="C45" s="1">
        <v>30</v>
      </c>
      <c r="D45" s="1">
        <v>90</v>
      </c>
      <c r="E45" s="1">
        <v>8</v>
      </c>
      <c r="F45" s="1">
        <v>5</v>
      </c>
      <c r="G45" s="1">
        <v>8</v>
      </c>
      <c r="H45" s="1">
        <v>5</v>
      </c>
      <c r="I45" s="1">
        <v>3</v>
      </c>
      <c r="J45" s="1">
        <v>1</v>
      </c>
      <c r="K45" s="1">
        <v>1</v>
      </c>
      <c r="L45" s="1">
        <v>1</v>
      </c>
      <c r="M45" s="1">
        <v>1</v>
      </c>
      <c r="N45" s="1">
        <v>0</v>
      </c>
      <c r="O45" s="1">
        <v>1</v>
      </c>
      <c r="P45" s="1">
        <v>0</v>
      </c>
      <c r="Q45" s="9">
        <v>0</v>
      </c>
      <c r="S45" s="9">
        <v>3</v>
      </c>
      <c r="T45" s="9">
        <v>2</v>
      </c>
      <c r="U45" s="9">
        <v>2</v>
      </c>
      <c r="V45" s="9">
        <v>1</v>
      </c>
      <c r="X45" s="9">
        <v>1</v>
      </c>
      <c r="Y45" s="1">
        <v>3</v>
      </c>
      <c r="Z45" s="1">
        <v>0</v>
      </c>
      <c r="AA45" s="14">
        <f t="shared" si="0"/>
        <v>0</v>
      </c>
      <c r="AB45" s="1">
        <f t="shared" si="1"/>
        <v>1</v>
      </c>
      <c r="AC45" s="9">
        <v>3</v>
      </c>
      <c r="AD45" s="1">
        <f t="shared" si="2"/>
        <v>2</v>
      </c>
      <c r="AE45" s="12">
        <f t="shared" si="3"/>
        <v>10</v>
      </c>
      <c r="AF45" s="13">
        <f t="shared" si="4"/>
        <v>1</v>
      </c>
    </row>
    <row r="46" spans="1:32">
      <c r="A46" t="s">
        <v>128</v>
      </c>
      <c r="B46" s="1">
        <v>1</v>
      </c>
      <c r="C46" s="1">
        <v>30</v>
      </c>
      <c r="D46" s="1">
        <v>30</v>
      </c>
      <c r="E46" s="1">
        <v>9</v>
      </c>
      <c r="F46" s="1">
        <v>0</v>
      </c>
      <c r="G46" s="1">
        <v>7</v>
      </c>
      <c r="H46" s="1">
        <v>20</v>
      </c>
      <c r="I46" s="1">
        <v>1</v>
      </c>
      <c r="J46" s="1">
        <v>1</v>
      </c>
      <c r="K46" s="1">
        <v>1</v>
      </c>
      <c r="L46" s="1">
        <v>0</v>
      </c>
      <c r="M46" s="1">
        <v>1</v>
      </c>
      <c r="N46" s="1">
        <v>0</v>
      </c>
      <c r="O46" s="1">
        <v>0</v>
      </c>
      <c r="P46" s="1">
        <v>2</v>
      </c>
      <c r="Q46" s="9">
        <v>0</v>
      </c>
      <c r="S46" s="9">
        <v>0</v>
      </c>
      <c r="T46" s="9">
        <v>1</v>
      </c>
      <c r="U46" s="9">
        <v>2</v>
      </c>
      <c r="V46" s="9">
        <v>0</v>
      </c>
      <c r="X46" s="9">
        <v>0</v>
      </c>
      <c r="Y46" s="1">
        <v>1</v>
      </c>
      <c r="Z46" s="1">
        <v>0</v>
      </c>
      <c r="AA46" s="14">
        <f t="shared" si="0"/>
        <v>0</v>
      </c>
      <c r="AB46" s="1">
        <f t="shared" si="1"/>
        <v>1</v>
      </c>
      <c r="AC46" s="9">
        <v>0</v>
      </c>
      <c r="AD46" s="1">
        <f t="shared" si="2"/>
        <v>2</v>
      </c>
      <c r="AE46" s="12">
        <f t="shared" si="3"/>
        <v>4</v>
      </c>
      <c r="AF46" s="13">
        <f t="shared" si="4"/>
        <v>0</v>
      </c>
    </row>
    <row r="47" spans="1:32">
      <c r="A47" t="s">
        <v>129</v>
      </c>
      <c r="B47" s="1">
        <v>0</v>
      </c>
      <c r="C47" s="1">
        <v>30</v>
      </c>
      <c r="D47" s="1">
        <v>20</v>
      </c>
      <c r="E47" s="1">
        <v>9</v>
      </c>
      <c r="F47" s="1">
        <v>0</v>
      </c>
      <c r="G47" s="1">
        <v>7</v>
      </c>
      <c r="H47" s="1">
        <v>0</v>
      </c>
      <c r="I47" s="1">
        <v>1</v>
      </c>
      <c r="J47" s="1">
        <v>1</v>
      </c>
      <c r="K47" s="1">
        <v>0</v>
      </c>
      <c r="L47" s="1">
        <v>1</v>
      </c>
      <c r="M47" s="1">
        <v>1</v>
      </c>
      <c r="N47" s="1">
        <v>0</v>
      </c>
      <c r="O47" s="1">
        <v>0</v>
      </c>
      <c r="P47" s="1">
        <v>0</v>
      </c>
      <c r="Q47" s="9">
        <v>0</v>
      </c>
      <c r="S47" s="9">
        <v>0</v>
      </c>
      <c r="T47" s="9">
        <v>0</v>
      </c>
      <c r="U47" s="9">
        <v>0</v>
      </c>
      <c r="V47" s="9">
        <v>1</v>
      </c>
      <c r="X47" s="9">
        <v>1</v>
      </c>
      <c r="Y47" s="1">
        <v>1</v>
      </c>
      <c r="Z47" s="1">
        <v>0</v>
      </c>
      <c r="AA47" s="14">
        <f t="shared" si="0"/>
        <v>1</v>
      </c>
      <c r="AB47" s="1">
        <f t="shared" si="1"/>
        <v>1</v>
      </c>
      <c r="AC47" s="9">
        <v>0</v>
      </c>
      <c r="AD47" s="1">
        <f t="shared" si="2"/>
        <v>0</v>
      </c>
      <c r="AE47" s="12">
        <f t="shared" si="3"/>
        <v>4</v>
      </c>
      <c r="AF47" s="13">
        <f t="shared" si="4"/>
        <v>0</v>
      </c>
    </row>
    <row r="48" spans="1:32">
      <c r="A48" t="s">
        <v>130</v>
      </c>
      <c r="B48" s="1">
        <v>23</v>
      </c>
      <c r="C48" s="1">
        <v>30</v>
      </c>
      <c r="D48" s="1">
        <v>20</v>
      </c>
      <c r="E48" s="1">
        <v>9</v>
      </c>
      <c r="F48" s="1">
        <v>0</v>
      </c>
      <c r="G48" s="1">
        <v>9</v>
      </c>
      <c r="H48" s="1">
        <v>30</v>
      </c>
      <c r="I48" s="1">
        <v>1</v>
      </c>
      <c r="J48" s="1">
        <v>1</v>
      </c>
      <c r="K48" s="1">
        <v>1</v>
      </c>
      <c r="L48" s="1">
        <v>0</v>
      </c>
      <c r="M48" s="1">
        <v>2</v>
      </c>
      <c r="N48" s="1">
        <v>0</v>
      </c>
      <c r="O48" s="1">
        <v>1</v>
      </c>
      <c r="P48" s="1">
        <v>3</v>
      </c>
      <c r="Q48" s="9">
        <v>1</v>
      </c>
      <c r="S48" s="9">
        <v>0</v>
      </c>
      <c r="T48" s="9">
        <v>1</v>
      </c>
      <c r="U48" s="9">
        <v>0</v>
      </c>
      <c r="V48" s="9">
        <v>1</v>
      </c>
      <c r="X48" s="9">
        <v>1</v>
      </c>
      <c r="Y48" s="1">
        <v>1</v>
      </c>
      <c r="Z48" s="1">
        <v>0</v>
      </c>
      <c r="AA48" s="14">
        <f t="shared" si="0"/>
        <v>0</v>
      </c>
      <c r="AB48" s="1">
        <f t="shared" si="1"/>
        <v>1</v>
      </c>
      <c r="AC48" s="9">
        <v>0</v>
      </c>
      <c r="AD48" s="1">
        <f t="shared" si="2"/>
        <v>1</v>
      </c>
      <c r="AE48" s="12">
        <f t="shared" si="3"/>
        <v>4</v>
      </c>
      <c r="AF48" s="13">
        <f t="shared" si="4"/>
        <v>0</v>
      </c>
    </row>
    <row r="49" spans="1:32">
      <c r="A49" t="s">
        <v>131</v>
      </c>
      <c r="B49" s="1">
        <v>0</v>
      </c>
      <c r="C49" s="1">
        <v>30</v>
      </c>
      <c r="D49" s="1">
        <v>30</v>
      </c>
      <c r="E49" s="1">
        <v>8</v>
      </c>
      <c r="F49" s="1">
        <v>30</v>
      </c>
      <c r="G49" s="1">
        <v>7</v>
      </c>
      <c r="H49" s="1">
        <v>0</v>
      </c>
      <c r="I49" s="1">
        <v>2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9">
        <v>0</v>
      </c>
      <c r="S49" s="9">
        <v>0</v>
      </c>
      <c r="T49" s="9">
        <v>0</v>
      </c>
      <c r="U49" s="9">
        <v>0</v>
      </c>
      <c r="V49" s="9">
        <v>1</v>
      </c>
      <c r="X49" s="9">
        <v>1</v>
      </c>
      <c r="Y49" s="1">
        <v>2</v>
      </c>
      <c r="Z49" s="1">
        <v>0</v>
      </c>
      <c r="AA49" s="14">
        <f t="shared" si="0"/>
        <v>0</v>
      </c>
      <c r="AB49" s="1">
        <f t="shared" si="1"/>
        <v>0</v>
      </c>
      <c r="AC49" s="9">
        <v>0</v>
      </c>
      <c r="AD49" s="1">
        <f t="shared" si="2"/>
        <v>0</v>
      </c>
      <c r="AE49" s="12">
        <f t="shared" si="3"/>
        <v>3</v>
      </c>
      <c r="AF49" s="13">
        <f t="shared" si="4"/>
        <v>0</v>
      </c>
    </row>
    <row r="50" spans="1:32">
      <c r="A50" t="s">
        <v>132</v>
      </c>
      <c r="B50" s="1">
        <v>3</v>
      </c>
      <c r="C50" s="1">
        <v>0</v>
      </c>
      <c r="D50" s="1">
        <v>20</v>
      </c>
      <c r="E50" s="1">
        <v>9</v>
      </c>
      <c r="F50" s="1">
        <v>0</v>
      </c>
      <c r="G50" s="1">
        <v>5</v>
      </c>
      <c r="H50" s="1">
        <v>40</v>
      </c>
      <c r="I50" s="1">
        <v>2</v>
      </c>
      <c r="J50" s="1">
        <v>1</v>
      </c>
      <c r="K50" s="1">
        <v>1</v>
      </c>
      <c r="L50" s="1">
        <v>1</v>
      </c>
      <c r="M50" s="1">
        <v>1</v>
      </c>
      <c r="N50" s="1">
        <v>1</v>
      </c>
      <c r="O50" s="1">
        <v>1</v>
      </c>
      <c r="P50" s="1">
        <v>1</v>
      </c>
      <c r="Q50" s="9">
        <v>1</v>
      </c>
      <c r="S50" s="9">
        <v>0</v>
      </c>
      <c r="T50" s="9">
        <v>2</v>
      </c>
      <c r="U50" s="9">
        <v>1</v>
      </c>
      <c r="V50" s="9">
        <v>2</v>
      </c>
      <c r="X50" s="9">
        <v>2</v>
      </c>
      <c r="Y50" s="1">
        <v>2</v>
      </c>
      <c r="Z50" s="1">
        <v>2</v>
      </c>
      <c r="AA50" s="14">
        <f t="shared" si="0"/>
        <v>0</v>
      </c>
      <c r="AB50" s="1">
        <f t="shared" si="1"/>
        <v>1</v>
      </c>
      <c r="AC50" s="9">
        <v>0</v>
      </c>
      <c r="AD50" s="1">
        <f t="shared" si="2"/>
        <v>2</v>
      </c>
      <c r="AE50" s="12">
        <f t="shared" si="3"/>
        <v>9</v>
      </c>
      <c r="AF50" s="13">
        <f t="shared" si="4"/>
        <v>1</v>
      </c>
    </row>
    <row r="51" spans="1:32">
      <c r="A51" t="s">
        <v>133</v>
      </c>
      <c r="B51" s="1">
        <v>1</v>
      </c>
      <c r="C51" s="1">
        <v>30</v>
      </c>
      <c r="D51" s="1">
        <v>5</v>
      </c>
      <c r="E51" s="1">
        <v>9</v>
      </c>
      <c r="F51" s="1">
        <v>30</v>
      </c>
      <c r="G51" s="1">
        <v>7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9">
        <v>0</v>
      </c>
      <c r="S51" s="9">
        <v>0</v>
      </c>
      <c r="T51" s="9">
        <v>0</v>
      </c>
      <c r="U51" s="9">
        <v>1</v>
      </c>
      <c r="V51" s="9">
        <v>0</v>
      </c>
      <c r="X51" s="9">
        <v>0</v>
      </c>
      <c r="Y51" s="1">
        <v>0</v>
      </c>
      <c r="Z51" s="1">
        <v>0</v>
      </c>
      <c r="AA51" s="14">
        <f t="shared" si="0"/>
        <v>0</v>
      </c>
      <c r="AB51" s="1">
        <f t="shared" si="1"/>
        <v>0</v>
      </c>
      <c r="AC51" s="9">
        <v>0</v>
      </c>
      <c r="AD51" s="1">
        <f t="shared" si="2"/>
        <v>1</v>
      </c>
      <c r="AE51" s="12">
        <f t="shared" si="3"/>
        <v>1</v>
      </c>
      <c r="AF51" s="13">
        <f t="shared" si="4"/>
        <v>0</v>
      </c>
    </row>
    <row r="52" spans="1:32">
      <c r="A52" t="s">
        <v>134</v>
      </c>
      <c r="B52" s="1">
        <v>2</v>
      </c>
      <c r="C52" s="1">
        <v>30</v>
      </c>
      <c r="D52" s="1">
        <v>60</v>
      </c>
      <c r="E52" s="1">
        <v>10</v>
      </c>
      <c r="F52" s="1">
        <v>0</v>
      </c>
      <c r="G52" s="1">
        <v>5</v>
      </c>
      <c r="H52" s="1">
        <v>0</v>
      </c>
      <c r="I52" s="1">
        <v>3</v>
      </c>
      <c r="J52" s="1">
        <v>1</v>
      </c>
      <c r="K52" s="1">
        <v>0</v>
      </c>
      <c r="L52" s="1">
        <v>0</v>
      </c>
      <c r="M52" s="1">
        <v>0</v>
      </c>
      <c r="N52" s="1">
        <v>0</v>
      </c>
      <c r="O52" s="1">
        <v>2</v>
      </c>
      <c r="P52" s="1">
        <v>0</v>
      </c>
      <c r="Q52" s="9">
        <v>0</v>
      </c>
      <c r="S52" s="9">
        <v>0</v>
      </c>
      <c r="T52" s="9">
        <v>0</v>
      </c>
      <c r="U52" s="9">
        <v>1</v>
      </c>
      <c r="V52" s="9">
        <v>2</v>
      </c>
      <c r="X52" s="9">
        <v>2</v>
      </c>
      <c r="Y52" s="1">
        <v>3</v>
      </c>
      <c r="Z52" s="1">
        <v>2</v>
      </c>
      <c r="AA52" s="14">
        <f t="shared" si="0"/>
        <v>2</v>
      </c>
      <c r="AB52" s="1">
        <f t="shared" si="1"/>
        <v>1</v>
      </c>
      <c r="AC52" s="9">
        <v>0</v>
      </c>
      <c r="AD52" s="1">
        <f t="shared" si="2"/>
        <v>1</v>
      </c>
      <c r="AE52" s="12">
        <f t="shared" si="3"/>
        <v>11</v>
      </c>
      <c r="AF52" s="13">
        <f t="shared" si="4"/>
        <v>1</v>
      </c>
    </row>
    <row r="53" spans="1:32">
      <c r="A53" t="s">
        <v>135</v>
      </c>
      <c r="B53" s="1">
        <v>1</v>
      </c>
      <c r="C53" s="1">
        <v>5</v>
      </c>
      <c r="D53" s="1">
        <v>15</v>
      </c>
      <c r="E53" s="1">
        <v>8</v>
      </c>
      <c r="F53" s="1">
        <v>30</v>
      </c>
      <c r="G53" s="1">
        <v>5</v>
      </c>
      <c r="H53" s="1">
        <v>30</v>
      </c>
      <c r="I53" s="1">
        <v>1</v>
      </c>
      <c r="J53" s="1">
        <v>2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9">
        <v>1</v>
      </c>
      <c r="S53" s="9">
        <v>0</v>
      </c>
      <c r="T53" s="9">
        <v>3</v>
      </c>
      <c r="U53" s="9">
        <v>2</v>
      </c>
      <c r="V53" s="9">
        <v>1</v>
      </c>
      <c r="X53" s="9">
        <v>1</v>
      </c>
      <c r="Y53" s="1">
        <v>1</v>
      </c>
      <c r="Z53" s="1">
        <v>2</v>
      </c>
      <c r="AA53" s="14">
        <f t="shared" si="0"/>
        <v>2</v>
      </c>
      <c r="AB53" s="1">
        <f t="shared" si="1"/>
        <v>1</v>
      </c>
      <c r="AC53" s="9">
        <v>0</v>
      </c>
      <c r="AD53" s="1">
        <f t="shared" si="2"/>
        <v>3</v>
      </c>
      <c r="AE53" s="12">
        <f t="shared" si="3"/>
        <v>10</v>
      </c>
      <c r="AF53" s="13">
        <f t="shared" si="4"/>
        <v>1</v>
      </c>
    </row>
    <row r="54" spans="1:32">
      <c r="A54" t="s">
        <v>136</v>
      </c>
      <c r="B54" s="1">
        <v>1</v>
      </c>
      <c r="C54" s="1">
        <v>0</v>
      </c>
      <c r="D54" s="1">
        <v>20</v>
      </c>
      <c r="E54" s="1">
        <v>10</v>
      </c>
      <c r="F54" s="1">
        <v>0</v>
      </c>
      <c r="G54" s="1">
        <v>9</v>
      </c>
      <c r="H54" s="1">
        <v>0</v>
      </c>
      <c r="I54" s="1">
        <v>1</v>
      </c>
      <c r="J54" s="1">
        <v>2</v>
      </c>
      <c r="K54" s="1">
        <v>1</v>
      </c>
      <c r="L54" s="1">
        <v>0</v>
      </c>
      <c r="M54" s="1">
        <v>2</v>
      </c>
      <c r="N54" s="1">
        <v>0</v>
      </c>
      <c r="O54" s="1">
        <v>0</v>
      </c>
      <c r="P54" s="1">
        <v>0</v>
      </c>
      <c r="Q54" s="9">
        <v>0</v>
      </c>
      <c r="S54" s="9">
        <v>0</v>
      </c>
      <c r="T54" s="9">
        <v>0</v>
      </c>
      <c r="U54" s="9">
        <v>0</v>
      </c>
      <c r="V54" s="9">
        <v>1</v>
      </c>
      <c r="X54" s="9">
        <v>1</v>
      </c>
      <c r="Y54" s="1">
        <v>1</v>
      </c>
      <c r="Z54" s="1">
        <v>0</v>
      </c>
      <c r="AA54" s="14">
        <f t="shared" si="0"/>
        <v>0</v>
      </c>
      <c r="AB54" s="1">
        <f t="shared" si="1"/>
        <v>1</v>
      </c>
      <c r="AC54" s="9">
        <v>0</v>
      </c>
      <c r="AD54" s="1">
        <f t="shared" si="2"/>
        <v>0</v>
      </c>
      <c r="AE54" s="12">
        <f t="shared" si="3"/>
        <v>3</v>
      </c>
      <c r="AF54" s="13">
        <f t="shared" si="4"/>
        <v>0</v>
      </c>
    </row>
    <row r="55" spans="1:32">
      <c r="A55" t="s">
        <v>137</v>
      </c>
      <c r="B55" s="1">
        <v>1</v>
      </c>
      <c r="C55" s="1">
        <v>0</v>
      </c>
      <c r="D55" s="1">
        <v>10</v>
      </c>
      <c r="E55" s="1">
        <v>8</v>
      </c>
      <c r="F55" s="1">
        <v>0</v>
      </c>
      <c r="G55" s="1">
        <v>7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9">
        <v>0</v>
      </c>
      <c r="S55" s="9">
        <v>0</v>
      </c>
      <c r="T55" s="9">
        <v>0</v>
      </c>
      <c r="U55" s="9">
        <v>0</v>
      </c>
      <c r="V55" s="9">
        <v>0</v>
      </c>
      <c r="X55" s="9">
        <v>0</v>
      </c>
      <c r="Y55" s="1">
        <v>0</v>
      </c>
      <c r="Z55" s="1">
        <v>0</v>
      </c>
      <c r="AA55" s="14">
        <f t="shared" si="0"/>
        <v>0</v>
      </c>
      <c r="AB55" s="1">
        <f t="shared" si="1"/>
        <v>0</v>
      </c>
      <c r="AC55" s="9">
        <v>0</v>
      </c>
      <c r="AD55" s="1">
        <f t="shared" si="2"/>
        <v>0</v>
      </c>
      <c r="AE55" s="12">
        <f t="shared" si="3"/>
        <v>0</v>
      </c>
      <c r="AF55" s="13">
        <f t="shared" si="4"/>
        <v>0</v>
      </c>
    </row>
    <row r="56" spans="1:32">
      <c r="A56" t="s">
        <v>138</v>
      </c>
      <c r="B56" s="1">
        <v>1</v>
      </c>
      <c r="C56" s="1">
        <v>30</v>
      </c>
      <c r="D56" s="1">
        <v>15</v>
      </c>
      <c r="E56" s="1">
        <v>8</v>
      </c>
      <c r="F56" s="1">
        <v>35</v>
      </c>
      <c r="G56" s="1">
        <v>6</v>
      </c>
      <c r="H56" s="1">
        <v>30</v>
      </c>
      <c r="I56" s="1">
        <v>2</v>
      </c>
      <c r="J56" s="1">
        <v>1</v>
      </c>
      <c r="K56" s="1">
        <v>0</v>
      </c>
      <c r="L56" s="1">
        <v>2</v>
      </c>
      <c r="M56" s="1">
        <v>0</v>
      </c>
      <c r="N56" s="1">
        <v>1</v>
      </c>
      <c r="O56" s="1">
        <v>1</v>
      </c>
      <c r="P56" s="1">
        <v>1</v>
      </c>
      <c r="Q56" s="9">
        <v>1</v>
      </c>
      <c r="S56" s="9">
        <v>0</v>
      </c>
      <c r="T56" s="9">
        <v>1</v>
      </c>
      <c r="U56" s="9">
        <v>1</v>
      </c>
      <c r="V56" s="9">
        <v>1</v>
      </c>
      <c r="X56" s="9">
        <v>1</v>
      </c>
      <c r="Y56" s="1">
        <v>1</v>
      </c>
      <c r="Z56" s="1">
        <v>1</v>
      </c>
      <c r="AA56" s="14">
        <f t="shared" si="0"/>
        <v>0</v>
      </c>
      <c r="AB56" s="1">
        <f t="shared" si="1"/>
        <v>1</v>
      </c>
      <c r="AC56" s="9">
        <v>0</v>
      </c>
      <c r="AD56" s="1">
        <f t="shared" si="2"/>
        <v>1</v>
      </c>
      <c r="AE56" s="12">
        <f t="shared" si="3"/>
        <v>5</v>
      </c>
      <c r="AF56" s="13">
        <f t="shared" si="4"/>
        <v>1</v>
      </c>
    </row>
    <row r="57" spans="1:32">
      <c r="A57" t="s">
        <v>139</v>
      </c>
      <c r="B57" s="1">
        <v>3</v>
      </c>
      <c r="C57" s="1">
        <v>0</v>
      </c>
      <c r="D57" s="1">
        <v>30</v>
      </c>
      <c r="E57" s="1">
        <v>12</v>
      </c>
      <c r="F57" s="1">
        <v>0</v>
      </c>
      <c r="G57" s="1">
        <v>8</v>
      </c>
      <c r="H57" s="1">
        <v>0</v>
      </c>
      <c r="I57" s="1">
        <v>0</v>
      </c>
      <c r="J57" s="1">
        <v>0</v>
      </c>
      <c r="K57" s="1">
        <v>0</v>
      </c>
      <c r="L57" s="1">
        <v>1</v>
      </c>
      <c r="M57" s="1">
        <v>0</v>
      </c>
      <c r="N57" s="1">
        <v>1</v>
      </c>
      <c r="O57" s="1">
        <v>0</v>
      </c>
      <c r="P57" s="1">
        <v>0</v>
      </c>
      <c r="Q57" s="9">
        <v>0</v>
      </c>
      <c r="S57" s="9">
        <v>0</v>
      </c>
      <c r="T57" s="9">
        <v>0</v>
      </c>
      <c r="U57" s="9">
        <v>0</v>
      </c>
      <c r="V57" s="9">
        <v>0</v>
      </c>
      <c r="X57" s="9">
        <v>0</v>
      </c>
      <c r="Y57" s="1">
        <v>1</v>
      </c>
      <c r="Z57" s="1">
        <v>0</v>
      </c>
      <c r="AA57" s="14">
        <f t="shared" si="0"/>
        <v>0</v>
      </c>
      <c r="AB57" s="1">
        <f t="shared" si="1"/>
        <v>1</v>
      </c>
      <c r="AC57" s="9">
        <v>0</v>
      </c>
      <c r="AD57" s="1">
        <f t="shared" si="2"/>
        <v>0</v>
      </c>
      <c r="AE57" s="12">
        <f t="shared" si="3"/>
        <v>2</v>
      </c>
      <c r="AF57" s="13">
        <f t="shared" si="4"/>
        <v>0</v>
      </c>
    </row>
    <row r="58" spans="1:32">
      <c r="A58" t="s">
        <v>140</v>
      </c>
      <c r="B58" s="1">
        <v>0</v>
      </c>
      <c r="C58" s="1">
        <v>0</v>
      </c>
      <c r="D58" s="1">
        <v>5</v>
      </c>
      <c r="E58" s="1">
        <v>8</v>
      </c>
      <c r="F58" s="1">
        <v>0</v>
      </c>
      <c r="G58" s="1">
        <v>8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9">
        <v>0</v>
      </c>
      <c r="S58" s="9">
        <v>0</v>
      </c>
      <c r="T58" s="9">
        <v>0</v>
      </c>
      <c r="U58" s="9">
        <v>0</v>
      </c>
      <c r="V58" s="9">
        <v>0</v>
      </c>
      <c r="X58" s="9">
        <v>0</v>
      </c>
      <c r="Y58" s="1">
        <v>0</v>
      </c>
      <c r="Z58" s="1">
        <v>0</v>
      </c>
      <c r="AA58" s="14">
        <f t="shared" si="0"/>
        <v>0</v>
      </c>
      <c r="AB58" s="1">
        <f t="shared" si="1"/>
        <v>0</v>
      </c>
      <c r="AC58" s="9">
        <v>0</v>
      </c>
      <c r="AD58" s="1">
        <f t="shared" si="2"/>
        <v>0</v>
      </c>
      <c r="AE58" s="12">
        <f t="shared" si="3"/>
        <v>0</v>
      </c>
      <c r="AF58" s="13">
        <f t="shared" si="4"/>
        <v>0</v>
      </c>
    </row>
    <row r="59" spans="1:32">
      <c r="A59" t="s">
        <v>141</v>
      </c>
      <c r="B59" s="1">
        <v>0</v>
      </c>
      <c r="C59" s="1">
        <v>0</v>
      </c>
      <c r="D59" s="1">
        <v>20</v>
      </c>
      <c r="E59" s="1">
        <v>8</v>
      </c>
      <c r="F59" s="1">
        <v>0</v>
      </c>
      <c r="G59" s="1">
        <v>8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9">
        <v>0</v>
      </c>
      <c r="S59" s="9">
        <v>0</v>
      </c>
      <c r="T59" s="9">
        <v>0</v>
      </c>
      <c r="U59" s="9">
        <v>2</v>
      </c>
      <c r="V59" s="9">
        <v>0</v>
      </c>
      <c r="X59" s="9">
        <v>0</v>
      </c>
      <c r="Y59" s="1">
        <v>1</v>
      </c>
      <c r="Z59" s="1">
        <v>0</v>
      </c>
      <c r="AA59" s="14">
        <f t="shared" si="0"/>
        <v>0</v>
      </c>
      <c r="AB59" s="1">
        <f t="shared" si="1"/>
        <v>0</v>
      </c>
      <c r="AC59" s="9">
        <v>0</v>
      </c>
      <c r="AD59" s="1">
        <f t="shared" si="2"/>
        <v>1</v>
      </c>
      <c r="AE59" s="12">
        <f t="shared" si="3"/>
        <v>2</v>
      </c>
      <c r="AF59" s="13">
        <f t="shared" si="4"/>
        <v>0</v>
      </c>
    </row>
    <row r="60" spans="1:32">
      <c r="A60" t="s">
        <v>142</v>
      </c>
      <c r="B60" s="1">
        <v>2</v>
      </c>
      <c r="C60" s="1">
        <v>45</v>
      </c>
      <c r="D60" s="1">
        <v>30</v>
      </c>
      <c r="E60" s="1">
        <v>10</v>
      </c>
      <c r="F60" s="1">
        <v>50</v>
      </c>
      <c r="G60" s="1">
        <v>7</v>
      </c>
      <c r="H60" s="1">
        <v>0</v>
      </c>
      <c r="I60" s="1">
        <v>1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1</v>
      </c>
      <c r="P60" s="1">
        <v>1</v>
      </c>
      <c r="Q60" s="9">
        <v>0</v>
      </c>
      <c r="S60" s="9">
        <v>0</v>
      </c>
      <c r="T60" s="9">
        <v>2</v>
      </c>
      <c r="U60" s="9">
        <v>3</v>
      </c>
      <c r="V60" s="9">
        <v>1</v>
      </c>
      <c r="X60" s="9">
        <v>1</v>
      </c>
      <c r="Y60" s="1">
        <v>1</v>
      </c>
      <c r="Z60" s="1">
        <v>0</v>
      </c>
      <c r="AA60" s="14">
        <f t="shared" si="0"/>
        <v>0</v>
      </c>
      <c r="AB60" s="1">
        <f t="shared" si="1"/>
        <v>1</v>
      </c>
      <c r="AC60" s="9">
        <v>0</v>
      </c>
      <c r="AD60" s="1">
        <f t="shared" si="2"/>
        <v>3</v>
      </c>
      <c r="AE60" s="12">
        <f t="shared" si="3"/>
        <v>6</v>
      </c>
      <c r="AF60" s="13">
        <f t="shared" si="4"/>
        <v>1</v>
      </c>
    </row>
    <row r="61" spans="1:32">
      <c r="A61" t="s">
        <v>143</v>
      </c>
      <c r="B61" s="1">
        <v>23</v>
      </c>
      <c r="C61" s="1">
        <v>35</v>
      </c>
      <c r="D61" s="1">
        <v>40</v>
      </c>
      <c r="E61" s="1">
        <v>7</v>
      </c>
      <c r="F61" s="1">
        <v>0</v>
      </c>
      <c r="G61" s="1">
        <v>7</v>
      </c>
      <c r="H61" s="1">
        <v>0</v>
      </c>
      <c r="I61" s="1">
        <v>3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9">
        <v>0</v>
      </c>
      <c r="S61" s="9">
        <v>0</v>
      </c>
      <c r="T61" s="9">
        <v>1</v>
      </c>
      <c r="U61" s="9">
        <v>1</v>
      </c>
      <c r="V61" s="9">
        <v>1</v>
      </c>
      <c r="X61" s="9">
        <v>1</v>
      </c>
      <c r="Y61" s="1">
        <v>3</v>
      </c>
      <c r="Z61" s="1">
        <v>0</v>
      </c>
      <c r="AA61" s="14">
        <f t="shared" si="0"/>
        <v>0</v>
      </c>
      <c r="AB61" s="1">
        <f t="shared" si="1"/>
        <v>0</v>
      </c>
      <c r="AC61" s="9">
        <v>0</v>
      </c>
      <c r="AD61" s="1">
        <f t="shared" si="2"/>
        <v>1</v>
      </c>
      <c r="AE61" s="12">
        <f t="shared" si="3"/>
        <v>5</v>
      </c>
      <c r="AF61" s="13">
        <f t="shared" si="4"/>
        <v>1</v>
      </c>
    </row>
    <row r="62" spans="1:32">
      <c r="A62" t="s">
        <v>144</v>
      </c>
      <c r="B62" s="1">
        <v>2</v>
      </c>
      <c r="C62" s="1">
        <v>0</v>
      </c>
      <c r="D62" s="1">
        <v>5</v>
      </c>
      <c r="E62" s="1">
        <v>7</v>
      </c>
      <c r="F62" s="1">
        <v>30</v>
      </c>
      <c r="G62" s="1">
        <v>6</v>
      </c>
      <c r="H62" s="1">
        <v>0</v>
      </c>
      <c r="I62" s="1">
        <v>1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9">
        <v>0</v>
      </c>
      <c r="S62" s="9">
        <v>0</v>
      </c>
      <c r="T62" s="9">
        <v>0</v>
      </c>
      <c r="U62" s="9">
        <v>1</v>
      </c>
      <c r="V62" s="9">
        <v>1</v>
      </c>
      <c r="X62" s="9">
        <v>1</v>
      </c>
      <c r="Y62" s="1">
        <v>1</v>
      </c>
      <c r="Z62" s="1">
        <v>1</v>
      </c>
      <c r="AA62" s="14">
        <f t="shared" si="0"/>
        <v>0</v>
      </c>
      <c r="AB62" s="1">
        <f t="shared" si="1"/>
        <v>0</v>
      </c>
      <c r="AC62" s="9">
        <v>0</v>
      </c>
      <c r="AD62" s="1">
        <f t="shared" si="2"/>
        <v>1</v>
      </c>
      <c r="AE62" s="12">
        <f t="shared" si="3"/>
        <v>4</v>
      </c>
      <c r="AF62" s="13">
        <f t="shared" si="4"/>
        <v>0</v>
      </c>
    </row>
    <row r="63" spans="1:32">
      <c r="A63" t="s">
        <v>145</v>
      </c>
      <c r="B63" s="1">
        <v>3</v>
      </c>
      <c r="C63" s="1">
        <v>0</v>
      </c>
      <c r="D63" s="1">
        <v>30</v>
      </c>
      <c r="E63" s="1">
        <v>12</v>
      </c>
      <c r="F63" s="1">
        <v>0</v>
      </c>
      <c r="G63" s="1">
        <v>6</v>
      </c>
      <c r="H63" s="1">
        <v>30</v>
      </c>
      <c r="I63" s="1">
        <v>0</v>
      </c>
      <c r="J63" s="1">
        <v>1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9">
        <v>0</v>
      </c>
      <c r="S63" s="9">
        <v>0</v>
      </c>
      <c r="T63" s="9">
        <v>0</v>
      </c>
      <c r="U63" s="9">
        <v>0</v>
      </c>
      <c r="V63" s="9">
        <v>0</v>
      </c>
      <c r="X63" s="9">
        <v>0</v>
      </c>
      <c r="Y63" s="1">
        <v>1</v>
      </c>
      <c r="Z63" s="1">
        <v>1</v>
      </c>
      <c r="AA63" s="14">
        <f t="shared" si="0"/>
        <v>2</v>
      </c>
      <c r="AB63" s="1">
        <f t="shared" si="1"/>
        <v>1</v>
      </c>
      <c r="AC63" s="9">
        <v>0</v>
      </c>
      <c r="AD63" s="1">
        <f t="shared" si="2"/>
        <v>0</v>
      </c>
      <c r="AE63" s="12">
        <f t="shared" si="3"/>
        <v>5</v>
      </c>
      <c r="AF63" s="13">
        <f t="shared" si="4"/>
        <v>1</v>
      </c>
    </row>
    <row r="64" spans="1:32">
      <c r="A64" t="s">
        <v>146</v>
      </c>
      <c r="B64" s="1">
        <v>1</v>
      </c>
      <c r="C64" s="1">
        <v>30</v>
      </c>
      <c r="D64" s="1">
        <v>30</v>
      </c>
      <c r="E64" s="1">
        <v>8</v>
      </c>
      <c r="F64" s="1">
        <v>30</v>
      </c>
      <c r="G64" s="1">
        <v>6</v>
      </c>
      <c r="H64" s="1">
        <v>0</v>
      </c>
      <c r="I64" s="1">
        <v>2</v>
      </c>
      <c r="J64" s="1">
        <v>1</v>
      </c>
      <c r="K64" s="1">
        <v>1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9">
        <v>0</v>
      </c>
      <c r="S64" s="9">
        <v>0</v>
      </c>
      <c r="T64" s="9">
        <v>0</v>
      </c>
      <c r="U64" s="9">
        <v>1</v>
      </c>
      <c r="V64" s="9">
        <v>1</v>
      </c>
      <c r="X64" s="9">
        <v>1</v>
      </c>
      <c r="Y64" s="1">
        <v>2</v>
      </c>
      <c r="Z64" s="1">
        <v>1</v>
      </c>
      <c r="AA64" s="14">
        <f t="shared" si="0"/>
        <v>0</v>
      </c>
      <c r="AB64" s="1">
        <f t="shared" si="1"/>
        <v>1</v>
      </c>
      <c r="AC64" s="9">
        <v>0</v>
      </c>
      <c r="AD64" s="1">
        <f t="shared" si="2"/>
        <v>1</v>
      </c>
      <c r="AE64" s="12">
        <f t="shared" si="3"/>
        <v>6</v>
      </c>
      <c r="AF64" s="13">
        <f t="shared" si="4"/>
        <v>1</v>
      </c>
    </row>
    <row r="65" spans="1:32">
      <c r="A65" t="s">
        <v>147</v>
      </c>
      <c r="B65" s="1">
        <v>1</v>
      </c>
      <c r="C65" s="1">
        <v>30</v>
      </c>
      <c r="D65" s="1">
        <v>20</v>
      </c>
      <c r="E65" s="1">
        <v>8</v>
      </c>
      <c r="F65" s="1">
        <v>30</v>
      </c>
      <c r="G65" s="1">
        <v>7</v>
      </c>
      <c r="H65" s="1">
        <v>0</v>
      </c>
      <c r="I65" s="1">
        <v>1</v>
      </c>
      <c r="J65" s="1">
        <v>1</v>
      </c>
      <c r="K65" s="1">
        <v>0</v>
      </c>
      <c r="L65" s="1">
        <v>1</v>
      </c>
      <c r="M65" s="1">
        <v>2</v>
      </c>
      <c r="N65" s="1">
        <v>0</v>
      </c>
      <c r="O65" s="1">
        <v>0</v>
      </c>
      <c r="P65" s="1">
        <v>0</v>
      </c>
      <c r="Q65" s="9">
        <v>0</v>
      </c>
      <c r="S65" s="9">
        <v>0</v>
      </c>
      <c r="T65" s="9">
        <v>1</v>
      </c>
      <c r="U65" s="9">
        <v>2</v>
      </c>
      <c r="V65" s="9">
        <v>1</v>
      </c>
      <c r="X65" s="9">
        <v>1</v>
      </c>
      <c r="Y65" s="1">
        <v>1</v>
      </c>
      <c r="Z65" s="1">
        <v>0</v>
      </c>
      <c r="AA65" s="14">
        <f t="shared" si="0"/>
        <v>0</v>
      </c>
      <c r="AB65" s="1">
        <f t="shared" si="1"/>
        <v>1</v>
      </c>
      <c r="AC65" s="9">
        <v>0</v>
      </c>
      <c r="AD65" s="1">
        <f t="shared" si="2"/>
        <v>2</v>
      </c>
      <c r="AE65" s="12">
        <f t="shared" si="3"/>
        <v>5</v>
      </c>
      <c r="AF65" s="13">
        <f t="shared" si="4"/>
        <v>1</v>
      </c>
    </row>
    <row r="66" spans="1:32">
      <c r="A66" t="s">
        <v>148</v>
      </c>
      <c r="B66" s="1">
        <v>3</v>
      </c>
      <c r="C66" s="1">
        <v>0</v>
      </c>
      <c r="D66" s="1">
        <v>5</v>
      </c>
      <c r="E66" s="1">
        <v>8</v>
      </c>
      <c r="F66" s="1">
        <v>50</v>
      </c>
      <c r="G66" s="1">
        <v>5</v>
      </c>
      <c r="H66" s="1">
        <v>0</v>
      </c>
      <c r="I66" s="1">
        <v>1</v>
      </c>
      <c r="J66" s="1">
        <v>0</v>
      </c>
      <c r="K66" s="1">
        <v>0</v>
      </c>
      <c r="L66" s="1">
        <v>0</v>
      </c>
      <c r="M66" s="1">
        <v>2</v>
      </c>
      <c r="N66" s="1">
        <v>0</v>
      </c>
      <c r="O66" s="1">
        <v>1</v>
      </c>
      <c r="P66" s="1">
        <v>0</v>
      </c>
      <c r="Q66" s="9">
        <v>0</v>
      </c>
      <c r="S66" s="9">
        <v>0</v>
      </c>
      <c r="T66" s="9">
        <v>0</v>
      </c>
      <c r="U66" s="9">
        <v>1</v>
      </c>
      <c r="V66" s="9">
        <v>1</v>
      </c>
      <c r="X66" s="9">
        <v>1</v>
      </c>
      <c r="Y66" s="1">
        <v>1</v>
      </c>
      <c r="Z66" s="1">
        <v>2</v>
      </c>
      <c r="AA66" s="14">
        <f t="shared" si="0"/>
        <v>0</v>
      </c>
      <c r="AB66" s="1">
        <f t="shared" si="1"/>
        <v>1</v>
      </c>
      <c r="AC66" s="9">
        <v>0</v>
      </c>
      <c r="AD66" s="1">
        <f t="shared" si="2"/>
        <v>1</v>
      </c>
      <c r="AE66" s="12">
        <f t="shared" si="3"/>
        <v>6</v>
      </c>
      <c r="AF66" s="13">
        <f t="shared" si="4"/>
        <v>1</v>
      </c>
    </row>
    <row r="67" spans="1:32">
      <c r="A67" t="s">
        <v>149</v>
      </c>
      <c r="B67" s="1">
        <v>3</v>
      </c>
      <c r="C67" s="1">
        <v>0</v>
      </c>
      <c r="D67" s="1">
        <v>10</v>
      </c>
      <c r="E67" s="1">
        <v>8</v>
      </c>
      <c r="F67" s="1">
        <v>45</v>
      </c>
      <c r="G67" s="1">
        <v>6</v>
      </c>
      <c r="H67" s="1">
        <v>0</v>
      </c>
      <c r="I67" s="1">
        <v>2</v>
      </c>
      <c r="J67" s="1">
        <v>1</v>
      </c>
      <c r="K67" s="1">
        <v>0</v>
      </c>
      <c r="L67" s="1">
        <v>0</v>
      </c>
      <c r="M67" s="1">
        <v>1</v>
      </c>
      <c r="N67" s="1">
        <v>1</v>
      </c>
      <c r="O67" s="1">
        <v>1</v>
      </c>
      <c r="P67" s="1">
        <v>2</v>
      </c>
      <c r="Q67" s="9">
        <v>2</v>
      </c>
      <c r="S67" s="9">
        <v>0</v>
      </c>
      <c r="T67" s="9">
        <v>1</v>
      </c>
      <c r="U67" s="9">
        <v>1</v>
      </c>
      <c r="V67" s="9">
        <v>1</v>
      </c>
      <c r="X67" s="9">
        <v>1</v>
      </c>
      <c r="Y67" s="1">
        <v>1</v>
      </c>
      <c r="Z67" s="1">
        <v>1</v>
      </c>
      <c r="AA67" s="14">
        <f t="shared" si="0"/>
        <v>0</v>
      </c>
      <c r="AB67" s="1">
        <f t="shared" si="1"/>
        <v>1</v>
      </c>
      <c r="AC67" s="9">
        <v>0</v>
      </c>
      <c r="AD67" s="1">
        <f t="shared" si="2"/>
        <v>1</v>
      </c>
      <c r="AE67" s="12">
        <f t="shared" si="3"/>
        <v>5</v>
      </c>
      <c r="AF67" s="13">
        <f t="shared" si="4"/>
        <v>1</v>
      </c>
    </row>
    <row r="68" spans="1:32">
      <c r="A68" t="s">
        <v>150</v>
      </c>
      <c r="B68" s="1">
        <v>0</v>
      </c>
      <c r="C68" s="1">
        <v>0</v>
      </c>
      <c r="D68" s="1">
        <v>5</v>
      </c>
      <c r="E68" s="1">
        <v>7</v>
      </c>
      <c r="F68" s="1">
        <v>0</v>
      </c>
      <c r="G68" s="1">
        <v>7</v>
      </c>
      <c r="H68" s="1">
        <v>0</v>
      </c>
      <c r="I68" s="1">
        <v>1</v>
      </c>
      <c r="J68" s="1">
        <v>1</v>
      </c>
      <c r="K68" s="1">
        <v>2</v>
      </c>
      <c r="L68" s="1">
        <v>0</v>
      </c>
      <c r="M68" s="1">
        <v>0</v>
      </c>
      <c r="N68" s="1">
        <v>0</v>
      </c>
      <c r="O68" s="1">
        <v>0</v>
      </c>
      <c r="P68" s="1">
        <v>1</v>
      </c>
      <c r="Q68" s="9">
        <v>0</v>
      </c>
      <c r="S68" s="9">
        <v>0</v>
      </c>
      <c r="T68" s="9">
        <v>2</v>
      </c>
      <c r="U68" s="9">
        <v>2</v>
      </c>
      <c r="V68" s="9">
        <v>2</v>
      </c>
      <c r="X68" s="9">
        <v>2</v>
      </c>
      <c r="Y68" s="1">
        <v>1</v>
      </c>
      <c r="Z68" s="1">
        <v>0</v>
      </c>
      <c r="AA68" s="14">
        <f t="shared" si="0"/>
        <v>0</v>
      </c>
      <c r="AB68" s="1">
        <f t="shared" si="1"/>
        <v>1</v>
      </c>
      <c r="AC68" s="9">
        <v>0</v>
      </c>
      <c r="AD68" s="1">
        <f t="shared" si="2"/>
        <v>2</v>
      </c>
      <c r="AE68" s="12">
        <f t="shared" si="3"/>
        <v>6</v>
      </c>
      <c r="AF68" s="13">
        <f t="shared" si="4"/>
        <v>1</v>
      </c>
    </row>
    <row r="69" spans="1:32">
      <c r="A69" t="s">
        <v>151</v>
      </c>
      <c r="B69" s="1">
        <v>0</v>
      </c>
      <c r="C69" s="1">
        <v>30</v>
      </c>
      <c r="D69" s="1">
        <v>10</v>
      </c>
      <c r="E69" s="1">
        <v>8</v>
      </c>
      <c r="F69" s="1">
        <v>20</v>
      </c>
      <c r="G69" s="1">
        <v>6</v>
      </c>
      <c r="H69" s="1">
        <v>30</v>
      </c>
      <c r="I69" s="1">
        <v>1</v>
      </c>
      <c r="J69" s="1">
        <v>1</v>
      </c>
      <c r="K69" s="1">
        <v>1</v>
      </c>
      <c r="L69" s="1">
        <v>0</v>
      </c>
      <c r="M69" s="1">
        <v>2</v>
      </c>
      <c r="N69" s="1">
        <v>0</v>
      </c>
      <c r="O69" s="1">
        <v>0</v>
      </c>
      <c r="P69" s="1">
        <v>1</v>
      </c>
      <c r="Q69" s="9">
        <v>0</v>
      </c>
      <c r="S69" s="9">
        <v>0</v>
      </c>
      <c r="T69" s="9">
        <v>1</v>
      </c>
      <c r="U69" s="9">
        <v>2</v>
      </c>
      <c r="V69" s="9">
        <v>1</v>
      </c>
      <c r="X69" s="9">
        <v>1</v>
      </c>
      <c r="Y69" s="1">
        <v>1</v>
      </c>
      <c r="Z69" s="1">
        <v>1</v>
      </c>
      <c r="AA69" s="14">
        <f t="shared" si="0"/>
        <v>1</v>
      </c>
      <c r="AB69" s="1">
        <f t="shared" si="1"/>
        <v>1</v>
      </c>
      <c r="AC69" s="9">
        <v>0</v>
      </c>
      <c r="AD69" s="1">
        <f t="shared" si="2"/>
        <v>2</v>
      </c>
      <c r="AE69" s="12">
        <f t="shared" si="3"/>
        <v>7</v>
      </c>
      <c r="AF69" s="13">
        <f t="shared" si="4"/>
        <v>1</v>
      </c>
    </row>
    <row r="70" spans="1:32">
      <c r="A70" t="s">
        <v>152</v>
      </c>
      <c r="B70" s="1">
        <v>0</v>
      </c>
      <c r="C70" s="1">
        <v>30</v>
      </c>
      <c r="D70" s="1">
        <v>15</v>
      </c>
      <c r="E70" s="1">
        <v>8</v>
      </c>
      <c r="F70" s="1">
        <v>10</v>
      </c>
      <c r="G70" s="1">
        <v>7</v>
      </c>
      <c r="H70" s="1">
        <v>45</v>
      </c>
      <c r="I70" s="1">
        <v>2</v>
      </c>
      <c r="J70" s="1">
        <v>1</v>
      </c>
      <c r="K70" s="1">
        <v>0</v>
      </c>
      <c r="L70" s="1">
        <v>0</v>
      </c>
      <c r="M70" s="1">
        <v>0</v>
      </c>
      <c r="N70" s="1">
        <v>0</v>
      </c>
      <c r="O70" s="1">
        <v>2</v>
      </c>
      <c r="P70" s="1">
        <v>1</v>
      </c>
      <c r="Q70" s="9">
        <v>2</v>
      </c>
      <c r="S70" s="9">
        <v>0</v>
      </c>
      <c r="T70" s="9">
        <v>1</v>
      </c>
      <c r="U70" s="9">
        <v>1</v>
      </c>
      <c r="V70" s="9">
        <v>1</v>
      </c>
      <c r="X70" s="9">
        <v>1</v>
      </c>
      <c r="Y70" s="1">
        <v>1</v>
      </c>
      <c r="Z70" s="1">
        <v>0</v>
      </c>
      <c r="AA70" s="14">
        <f t="shared" ref="AA70:AA106" si="5">IF(((G70 + H70/60) / (MOD(TIME(E70,F70,0) - TIME(B70,C70,0), 1) * 24)) * 100 &gt; 85, 0,
  IF(((G70 + H70/60) / (MOD(TIME(E70,F70,0) - TIME(B70,C70,0), 1) * 24)) * 100 &gt;= 75, 1,
    IF(((G70 + H70/60) / (MOD(TIME(E70,F70,0) - TIME(B70,C70,0), 1) * 24)) * 100 &gt;= 65, 2, 3)
  )
)</f>
        <v>0</v>
      </c>
      <c r="AB70" s="1">
        <f t="shared" ref="AB70:AB106" si="6">IF(SUM(J70:Q70)=0,0,
IF(SUM(J70:Q70)&lt;=9,1,
IF(SUM(J70:Q70)&lt;=18,2,3)
))</f>
        <v>1</v>
      </c>
      <c r="AC70" s="9">
        <v>0</v>
      </c>
      <c r="AD70" s="1">
        <f t="shared" ref="AD70:AD106" si="7">IF(T70 + U70 = 0, 0,
  IF(T70 + U70 &lt;= 2, 1,
    IF(T70 + U70 &lt;= 4, 2, 3)
  )
)</f>
        <v>1</v>
      </c>
      <c r="AE70" s="12">
        <f t="shared" ref="AE70:AE106" si="8">SUM(X70:AD70)</f>
        <v>4</v>
      </c>
      <c r="AF70" s="13">
        <f t="shared" ref="AF70:AF106" si="9">IF(AE70&gt;=5, 1, 0)</f>
        <v>0</v>
      </c>
    </row>
    <row r="71" spans="1:32">
      <c r="A71" t="s">
        <v>153</v>
      </c>
      <c r="B71" s="1">
        <v>0</v>
      </c>
      <c r="C71" s="1">
        <v>0</v>
      </c>
      <c r="D71" s="1">
        <v>30</v>
      </c>
      <c r="E71" s="1">
        <v>8</v>
      </c>
      <c r="F71" s="1">
        <v>30</v>
      </c>
      <c r="G71" s="1">
        <v>6</v>
      </c>
      <c r="H71" s="1">
        <v>30</v>
      </c>
      <c r="I71" s="1">
        <v>2</v>
      </c>
      <c r="J71" s="1">
        <v>3</v>
      </c>
      <c r="K71" s="1">
        <v>0</v>
      </c>
      <c r="L71" s="1">
        <v>0</v>
      </c>
      <c r="M71" s="1">
        <v>0</v>
      </c>
      <c r="N71" s="1">
        <v>1</v>
      </c>
      <c r="O71" s="1">
        <v>1</v>
      </c>
      <c r="P71" s="1">
        <v>1</v>
      </c>
      <c r="Q71" s="9">
        <v>0</v>
      </c>
      <c r="S71" s="9">
        <v>0</v>
      </c>
      <c r="T71" s="9">
        <v>1</v>
      </c>
      <c r="U71" s="9">
        <v>1</v>
      </c>
      <c r="V71" s="9">
        <v>2</v>
      </c>
      <c r="X71" s="9">
        <v>2</v>
      </c>
      <c r="Y71" s="1">
        <v>2</v>
      </c>
      <c r="Z71" s="1">
        <v>1</v>
      </c>
      <c r="AA71" s="14">
        <f t="shared" si="5"/>
        <v>1</v>
      </c>
      <c r="AB71" s="1">
        <f t="shared" si="6"/>
        <v>1</v>
      </c>
      <c r="AC71" s="9">
        <v>0</v>
      </c>
      <c r="AD71" s="1">
        <f t="shared" si="7"/>
        <v>1</v>
      </c>
      <c r="AE71" s="12">
        <f t="shared" si="8"/>
        <v>8</v>
      </c>
      <c r="AF71" s="13">
        <f t="shared" si="9"/>
        <v>1</v>
      </c>
    </row>
    <row r="72" spans="1:32">
      <c r="A72" t="s">
        <v>154</v>
      </c>
      <c r="B72" s="1">
        <v>2</v>
      </c>
      <c r="C72" s="1">
        <v>0</v>
      </c>
      <c r="D72" s="1">
        <v>40</v>
      </c>
      <c r="E72" s="1">
        <v>8</v>
      </c>
      <c r="F72" s="1">
        <v>20</v>
      </c>
      <c r="G72" s="1">
        <v>5</v>
      </c>
      <c r="H72" s="1">
        <v>45</v>
      </c>
      <c r="I72" s="1">
        <v>2</v>
      </c>
      <c r="J72" s="1">
        <v>3</v>
      </c>
      <c r="K72" s="1">
        <v>0</v>
      </c>
      <c r="L72" s="1">
        <v>3</v>
      </c>
      <c r="M72" s="1">
        <v>3</v>
      </c>
      <c r="N72" s="1">
        <v>2</v>
      </c>
      <c r="O72" s="1">
        <v>2</v>
      </c>
      <c r="P72" s="1">
        <v>0</v>
      </c>
      <c r="Q72" s="9">
        <v>0</v>
      </c>
      <c r="S72" s="9">
        <v>0</v>
      </c>
      <c r="T72" s="9">
        <v>2</v>
      </c>
      <c r="U72" s="9">
        <v>1</v>
      </c>
      <c r="V72" s="9">
        <v>3</v>
      </c>
      <c r="X72" s="9">
        <v>3</v>
      </c>
      <c r="Y72" s="1">
        <v>2</v>
      </c>
      <c r="Z72" s="1">
        <v>2</v>
      </c>
      <c r="AA72" s="14">
        <f t="shared" si="5"/>
        <v>0</v>
      </c>
      <c r="AB72" s="1">
        <f t="shared" si="6"/>
        <v>2</v>
      </c>
      <c r="AC72" s="9">
        <v>0</v>
      </c>
      <c r="AD72" s="1">
        <f t="shared" si="7"/>
        <v>2</v>
      </c>
      <c r="AE72" s="12">
        <f t="shared" si="8"/>
        <v>11</v>
      </c>
      <c r="AF72" s="13">
        <f t="shared" si="9"/>
        <v>1</v>
      </c>
    </row>
    <row r="73" spans="1:32">
      <c r="A73" t="s">
        <v>164</v>
      </c>
      <c r="B73" s="1">
        <v>0</v>
      </c>
      <c r="C73" s="1">
        <v>0</v>
      </c>
      <c r="D73" s="1">
        <v>15</v>
      </c>
      <c r="E73" s="1">
        <v>9</v>
      </c>
      <c r="F73" s="1">
        <v>0</v>
      </c>
      <c r="G73" s="1">
        <v>7</v>
      </c>
      <c r="H73" s="1">
        <v>0</v>
      </c>
      <c r="I73" s="1">
        <v>1</v>
      </c>
      <c r="J73" s="1">
        <v>0</v>
      </c>
      <c r="K73" s="1">
        <v>0</v>
      </c>
      <c r="L73" s="1">
        <v>0</v>
      </c>
      <c r="M73" s="1">
        <v>0</v>
      </c>
      <c r="N73" s="1">
        <v>2</v>
      </c>
      <c r="O73" s="1">
        <v>3</v>
      </c>
      <c r="P73" s="1">
        <v>0</v>
      </c>
      <c r="Q73" s="9">
        <v>0</v>
      </c>
      <c r="S73" s="9">
        <v>0</v>
      </c>
      <c r="T73" s="9">
        <v>2</v>
      </c>
      <c r="U73" s="9">
        <v>1</v>
      </c>
      <c r="V73" s="9">
        <v>1</v>
      </c>
      <c r="X73" s="9">
        <v>1</v>
      </c>
      <c r="Y73" s="1">
        <v>1</v>
      </c>
      <c r="Z73" s="1">
        <v>0</v>
      </c>
      <c r="AA73" s="1">
        <f t="shared" si="5"/>
        <v>1</v>
      </c>
      <c r="AB73" s="1">
        <f t="shared" si="6"/>
        <v>1</v>
      </c>
      <c r="AC73" s="9">
        <v>0</v>
      </c>
      <c r="AD73" s="1">
        <f t="shared" si="7"/>
        <v>2</v>
      </c>
      <c r="AE73" s="12">
        <f t="shared" si="8"/>
        <v>6</v>
      </c>
      <c r="AF73" s="16">
        <f t="shared" si="9"/>
        <v>1</v>
      </c>
    </row>
    <row r="74" spans="1:32">
      <c r="A74" t="s">
        <v>165</v>
      </c>
      <c r="B74" s="1">
        <v>2</v>
      </c>
      <c r="C74" s="1">
        <v>10</v>
      </c>
      <c r="D74" s="1">
        <v>40</v>
      </c>
      <c r="E74" s="1">
        <v>9</v>
      </c>
      <c r="F74" s="1">
        <v>15</v>
      </c>
      <c r="G74" s="1">
        <v>6</v>
      </c>
      <c r="H74" s="1">
        <v>0</v>
      </c>
      <c r="I74" s="1">
        <v>2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9">
        <v>0</v>
      </c>
      <c r="S74" s="9">
        <v>0</v>
      </c>
      <c r="T74" s="9">
        <v>0</v>
      </c>
      <c r="U74" s="9">
        <v>1</v>
      </c>
      <c r="V74" s="9">
        <v>2</v>
      </c>
      <c r="X74" s="9">
        <v>2</v>
      </c>
      <c r="Y74" s="1">
        <v>2</v>
      </c>
      <c r="Z74" s="1">
        <v>1</v>
      </c>
      <c r="AA74" s="1">
        <f t="shared" si="5"/>
        <v>1</v>
      </c>
      <c r="AB74" s="1">
        <f t="shared" si="6"/>
        <v>0</v>
      </c>
      <c r="AC74" s="9">
        <v>0</v>
      </c>
      <c r="AD74" s="1">
        <f t="shared" si="7"/>
        <v>1</v>
      </c>
      <c r="AE74" s="12">
        <f t="shared" si="8"/>
        <v>7</v>
      </c>
      <c r="AF74" s="16">
        <f t="shared" si="9"/>
        <v>1</v>
      </c>
    </row>
    <row r="75" spans="1:32">
      <c r="A75" t="s">
        <v>166</v>
      </c>
      <c r="B75" s="1">
        <v>1</v>
      </c>
      <c r="C75" s="1">
        <v>0</v>
      </c>
      <c r="D75" s="1">
        <v>20</v>
      </c>
      <c r="E75" s="1">
        <v>9</v>
      </c>
      <c r="F75" s="1">
        <v>0</v>
      </c>
      <c r="G75" s="1">
        <v>7</v>
      </c>
      <c r="H75" s="1">
        <v>30</v>
      </c>
      <c r="I75" s="1">
        <v>1</v>
      </c>
      <c r="J75" s="1">
        <v>1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9">
        <v>0</v>
      </c>
      <c r="S75" s="9">
        <v>0</v>
      </c>
      <c r="T75" s="9">
        <v>0</v>
      </c>
      <c r="U75" s="9">
        <v>0</v>
      </c>
      <c r="V75" s="9">
        <v>0</v>
      </c>
      <c r="X75" s="9">
        <v>0</v>
      </c>
      <c r="Y75" s="1">
        <v>1</v>
      </c>
      <c r="Z75" s="1">
        <v>0</v>
      </c>
      <c r="AA75" s="1">
        <f t="shared" si="5"/>
        <v>0</v>
      </c>
      <c r="AB75" s="1">
        <f t="shared" si="6"/>
        <v>1</v>
      </c>
      <c r="AC75" s="9">
        <v>0</v>
      </c>
      <c r="AD75" s="1">
        <f t="shared" si="7"/>
        <v>0</v>
      </c>
      <c r="AE75" s="12">
        <f t="shared" si="8"/>
        <v>2</v>
      </c>
      <c r="AF75" s="16">
        <f t="shared" si="9"/>
        <v>0</v>
      </c>
    </row>
    <row r="76" spans="1:32">
      <c r="A76" t="s">
        <v>167</v>
      </c>
      <c r="B76" s="1">
        <v>0</v>
      </c>
      <c r="C76" s="1">
        <v>0</v>
      </c>
      <c r="D76" s="1">
        <v>30</v>
      </c>
      <c r="E76" s="1">
        <v>7</v>
      </c>
      <c r="F76" s="1">
        <v>30</v>
      </c>
      <c r="G76" s="1">
        <v>7</v>
      </c>
      <c r="H76" s="1">
        <v>0</v>
      </c>
      <c r="I76" s="1">
        <v>3</v>
      </c>
      <c r="J76" s="1">
        <v>3</v>
      </c>
      <c r="K76" s="1">
        <v>1</v>
      </c>
      <c r="L76" s="1">
        <v>3</v>
      </c>
      <c r="M76" s="1">
        <v>3</v>
      </c>
      <c r="N76" s="1">
        <v>2</v>
      </c>
      <c r="O76" s="1">
        <v>2</v>
      </c>
      <c r="P76" s="1">
        <v>2</v>
      </c>
      <c r="Q76" s="9">
        <v>2</v>
      </c>
      <c r="S76" s="9">
        <v>2</v>
      </c>
      <c r="T76" s="9">
        <v>1</v>
      </c>
      <c r="U76" s="9">
        <v>1</v>
      </c>
      <c r="V76" s="9">
        <v>2</v>
      </c>
      <c r="X76" s="9">
        <v>2</v>
      </c>
      <c r="Y76" s="1">
        <v>2</v>
      </c>
      <c r="Z76" s="1">
        <v>0</v>
      </c>
      <c r="AA76" s="1">
        <f t="shared" si="5"/>
        <v>0</v>
      </c>
      <c r="AB76" s="1">
        <f t="shared" si="6"/>
        <v>2</v>
      </c>
      <c r="AC76" s="9">
        <v>2</v>
      </c>
      <c r="AD76" s="1">
        <f t="shared" si="7"/>
        <v>1</v>
      </c>
      <c r="AE76" s="12">
        <f t="shared" si="8"/>
        <v>9</v>
      </c>
      <c r="AF76" s="16">
        <f t="shared" si="9"/>
        <v>1</v>
      </c>
    </row>
    <row r="77" spans="1:32">
      <c r="A77" t="s">
        <v>168</v>
      </c>
      <c r="B77" s="1">
        <v>0</v>
      </c>
      <c r="C77" s="1">
        <v>0</v>
      </c>
      <c r="D77" s="1">
        <v>30</v>
      </c>
      <c r="E77" s="1">
        <v>7</v>
      </c>
      <c r="F77" s="1">
        <v>0</v>
      </c>
      <c r="G77" s="1">
        <v>7</v>
      </c>
      <c r="H77" s="1">
        <v>0</v>
      </c>
      <c r="I77" s="1">
        <v>3</v>
      </c>
      <c r="J77" s="1">
        <v>1</v>
      </c>
      <c r="K77" s="1">
        <v>0</v>
      </c>
      <c r="L77" s="1">
        <v>0</v>
      </c>
      <c r="M77" s="1">
        <v>0</v>
      </c>
      <c r="N77" s="1">
        <v>1</v>
      </c>
      <c r="O77" s="1">
        <v>1</v>
      </c>
      <c r="P77" s="1">
        <v>1</v>
      </c>
      <c r="Q77" s="9">
        <v>1</v>
      </c>
      <c r="S77" s="9">
        <v>0</v>
      </c>
      <c r="T77" s="9">
        <v>1</v>
      </c>
      <c r="U77" s="9">
        <v>2</v>
      </c>
      <c r="V77" s="9">
        <v>1</v>
      </c>
      <c r="X77" s="9">
        <v>1</v>
      </c>
      <c r="Y77" s="1">
        <v>2</v>
      </c>
      <c r="Z77" s="1">
        <v>0</v>
      </c>
      <c r="AA77" s="1">
        <f t="shared" si="5"/>
        <v>0</v>
      </c>
      <c r="AB77" s="1">
        <f t="shared" si="6"/>
        <v>1</v>
      </c>
      <c r="AC77" s="9">
        <v>0</v>
      </c>
      <c r="AD77" s="1">
        <f t="shared" si="7"/>
        <v>2</v>
      </c>
      <c r="AE77" s="12">
        <f t="shared" si="8"/>
        <v>6</v>
      </c>
      <c r="AF77" s="16">
        <f t="shared" si="9"/>
        <v>1</v>
      </c>
    </row>
    <row r="78" spans="1:32">
      <c r="A78" t="s">
        <v>169</v>
      </c>
      <c r="B78" s="1">
        <v>1</v>
      </c>
      <c r="C78" s="1">
        <v>0</v>
      </c>
      <c r="D78" s="1">
        <v>30</v>
      </c>
      <c r="E78" s="1">
        <v>9</v>
      </c>
      <c r="F78" s="1">
        <v>30</v>
      </c>
      <c r="G78" s="1">
        <v>7</v>
      </c>
      <c r="H78" s="1">
        <v>0</v>
      </c>
      <c r="I78" s="1">
        <v>2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9">
        <v>0</v>
      </c>
      <c r="R78" t="s">
        <v>198</v>
      </c>
      <c r="S78" s="9">
        <v>0</v>
      </c>
      <c r="T78" s="9">
        <v>0</v>
      </c>
      <c r="U78" s="9">
        <v>2</v>
      </c>
      <c r="V78" s="9">
        <v>1</v>
      </c>
      <c r="X78" s="9">
        <v>1</v>
      </c>
      <c r="Y78" s="1">
        <v>2</v>
      </c>
      <c r="Z78" s="1">
        <v>0</v>
      </c>
      <c r="AA78" s="1">
        <f t="shared" si="5"/>
        <v>1</v>
      </c>
      <c r="AB78" s="1">
        <f t="shared" si="6"/>
        <v>0</v>
      </c>
      <c r="AC78" s="9">
        <v>0</v>
      </c>
      <c r="AD78" s="1">
        <f t="shared" si="7"/>
        <v>1</v>
      </c>
      <c r="AE78" s="12">
        <f t="shared" si="8"/>
        <v>5</v>
      </c>
      <c r="AF78" s="16">
        <f t="shared" si="9"/>
        <v>1</v>
      </c>
    </row>
    <row r="79" spans="1:32">
      <c r="A79" t="s">
        <v>170</v>
      </c>
      <c r="B79" s="1">
        <v>23</v>
      </c>
      <c r="C79" s="1">
        <v>50</v>
      </c>
      <c r="D79" s="1">
        <v>10</v>
      </c>
      <c r="E79" s="1">
        <v>7</v>
      </c>
      <c r="F79" s="1">
        <v>40</v>
      </c>
      <c r="G79" s="1">
        <v>7</v>
      </c>
      <c r="H79" s="1">
        <v>0</v>
      </c>
      <c r="I79" s="1">
        <v>1</v>
      </c>
      <c r="J79" s="1">
        <v>1</v>
      </c>
      <c r="K79" s="1">
        <v>1</v>
      </c>
      <c r="L79" s="1">
        <v>0</v>
      </c>
      <c r="M79" s="1">
        <v>0</v>
      </c>
      <c r="N79" s="1">
        <v>0</v>
      </c>
      <c r="O79" s="1">
        <v>2</v>
      </c>
      <c r="P79" s="1">
        <v>0</v>
      </c>
      <c r="Q79" s="9">
        <v>0</v>
      </c>
      <c r="S79" s="9">
        <v>0</v>
      </c>
      <c r="T79" s="9">
        <v>1</v>
      </c>
      <c r="U79" s="9">
        <v>0</v>
      </c>
      <c r="V79" s="9">
        <v>0</v>
      </c>
      <c r="X79" s="9">
        <v>0</v>
      </c>
      <c r="Y79" s="1">
        <v>1</v>
      </c>
      <c r="Z79" s="1">
        <v>0</v>
      </c>
      <c r="AA79" s="1">
        <f t="shared" si="5"/>
        <v>0</v>
      </c>
      <c r="AB79" s="1">
        <f t="shared" si="6"/>
        <v>1</v>
      </c>
      <c r="AC79" s="9">
        <v>0</v>
      </c>
      <c r="AD79" s="1">
        <f t="shared" si="7"/>
        <v>1</v>
      </c>
      <c r="AE79" s="12">
        <f t="shared" si="8"/>
        <v>3</v>
      </c>
      <c r="AF79" s="16">
        <f t="shared" si="9"/>
        <v>0</v>
      </c>
    </row>
    <row r="80" spans="1:32">
      <c r="A80" t="s">
        <v>171</v>
      </c>
      <c r="B80" s="1">
        <v>0</v>
      </c>
      <c r="C80" s="1">
        <v>0</v>
      </c>
      <c r="D80" s="1">
        <v>15</v>
      </c>
      <c r="E80" s="1">
        <v>8</v>
      </c>
      <c r="F80" s="1">
        <v>0</v>
      </c>
      <c r="G80" s="1">
        <v>6</v>
      </c>
      <c r="H80" s="1">
        <v>0</v>
      </c>
      <c r="I80" s="1">
        <v>1</v>
      </c>
      <c r="J80" s="1">
        <v>2</v>
      </c>
      <c r="K80" s="1">
        <v>0</v>
      </c>
      <c r="L80" s="1">
        <v>1</v>
      </c>
      <c r="M80" s="1">
        <v>0</v>
      </c>
      <c r="N80" s="1">
        <v>0</v>
      </c>
      <c r="O80" s="1">
        <v>3</v>
      </c>
      <c r="P80" s="1">
        <v>1</v>
      </c>
      <c r="Q80" s="9">
        <v>0</v>
      </c>
      <c r="S80" s="9">
        <v>0</v>
      </c>
      <c r="T80" s="9">
        <v>1</v>
      </c>
      <c r="U80" s="9">
        <v>0</v>
      </c>
      <c r="V80" s="9">
        <v>1</v>
      </c>
      <c r="X80" s="9">
        <v>1</v>
      </c>
      <c r="Y80" s="1">
        <v>1</v>
      </c>
      <c r="Z80" s="1">
        <v>1</v>
      </c>
      <c r="AA80" s="1">
        <f t="shared" si="5"/>
        <v>1</v>
      </c>
      <c r="AB80" s="1">
        <f t="shared" si="6"/>
        <v>1</v>
      </c>
      <c r="AC80" s="9">
        <v>0</v>
      </c>
      <c r="AD80" s="1">
        <f t="shared" si="7"/>
        <v>1</v>
      </c>
      <c r="AE80" s="12">
        <f t="shared" si="8"/>
        <v>6</v>
      </c>
      <c r="AF80" s="16">
        <f t="shared" si="9"/>
        <v>1</v>
      </c>
    </row>
    <row r="81" spans="1:32">
      <c r="A81" t="s">
        <v>172</v>
      </c>
      <c r="B81" s="1">
        <v>1</v>
      </c>
      <c r="C81" s="1">
        <v>30</v>
      </c>
      <c r="D81" s="1">
        <v>10</v>
      </c>
      <c r="E81" s="1">
        <v>7</v>
      </c>
      <c r="F81" s="1">
        <v>30</v>
      </c>
      <c r="G81" s="1">
        <v>7</v>
      </c>
      <c r="H81" s="1">
        <v>0</v>
      </c>
      <c r="I81" s="1">
        <v>1</v>
      </c>
      <c r="J81" s="1">
        <v>2</v>
      </c>
      <c r="K81" s="1">
        <v>0</v>
      </c>
      <c r="L81" s="1">
        <v>0</v>
      </c>
      <c r="M81" s="1">
        <v>0</v>
      </c>
      <c r="N81" s="1">
        <v>0</v>
      </c>
      <c r="O81" s="1">
        <v>2</v>
      </c>
      <c r="P81" s="1">
        <v>0</v>
      </c>
      <c r="Q81" s="9">
        <v>0</v>
      </c>
      <c r="S81" s="9">
        <v>0</v>
      </c>
      <c r="T81" s="9">
        <v>0</v>
      </c>
      <c r="U81" s="9">
        <v>1</v>
      </c>
      <c r="V81" s="9">
        <v>1</v>
      </c>
      <c r="X81" s="9">
        <v>1</v>
      </c>
      <c r="Y81" s="1">
        <v>1</v>
      </c>
      <c r="Z81" s="1">
        <v>0</v>
      </c>
      <c r="AA81" s="1">
        <f t="shared" si="5"/>
        <v>0</v>
      </c>
      <c r="AB81" s="1">
        <f t="shared" si="6"/>
        <v>1</v>
      </c>
      <c r="AC81" s="9">
        <v>0</v>
      </c>
      <c r="AD81" s="1">
        <f t="shared" si="7"/>
        <v>1</v>
      </c>
      <c r="AE81" s="12">
        <f t="shared" si="8"/>
        <v>4</v>
      </c>
      <c r="AF81" s="16">
        <f t="shared" si="9"/>
        <v>0</v>
      </c>
    </row>
    <row r="82" spans="1:32">
      <c r="A82" t="s">
        <v>173</v>
      </c>
      <c r="B82" s="1">
        <v>1</v>
      </c>
      <c r="C82" s="1">
        <v>0</v>
      </c>
      <c r="D82" s="1">
        <v>15</v>
      </c>
      <c r="E82" s="1">
        <v>9</v>
      </c>
      <c r="F82" s="1">
        <v>0</v>
      </c>
      <c r="G82" s="1">
        <v>7</v>
      </c>
      <c r="H82" s="1">
        <v>0</v>
      </c>
      <c r="I82" s="1">
        <v>2</v>
      </c>
      <c r="J82" s="1">
        <v>2</v>
      </c>
      <c r="K82" s="1">
        <v>0</v>
      </c>
      <c r="L82" s="1">
        <v>0</v>
      </c>
      <c r="M82" s="1">
        <v>0</v>
      </c>
      <c r="N82" s="1">
        <v>1</v>
      </c>
      <c r="O82" s="1">
        <v>0</v>
      </c>
      <c r="P82" s="1">
        <v>1</v>
      </c>
      <c r="Q82" s="9">
        <v>1</v>
      </c>
      <c r="S82" s="9">
        <v>0</v>
      </c>
      <c r="T82" s="9">
        <v>1</v>
      </c>
      <c r="U82" s="9">
        <v>2</v>
      </c>
      <c r="V82" s="9">
        <v>1</v>
      </c>
      <c r="X82" s="9">
        <v>1</v>
      </c>
      <c r="Y82" s="1">
        <v>1</v>
      </c>
      <c r="Z82" s="1">
        <v>0</v>
      </c>
      <c r="AA82" s="1">
        <f t="shared" si="5"/>
        <v>0</v>
      </c>
      <c r="AB82" s="1">
        <f t="shared" si="6"/>
        <v>1</v>
      </c>
      <c r="AC82" s="9">
        <v>0</v>
      </c>
      <c r="AD82" s="1">
        <f t="shared" si="7"/>
        <v>2</v>
      </c>
      <c r="AE82" s="12">
        <f t="shared" si="8"/>
        <v>5</v>
      </c>
      <c r="AF82" s="16">
        <f t="shared" si="9"/>
        <v>1</v>
      </c>
    </row>
    <row r="83" spans="1:32">
      <c r="A83" t="s">
        <v>174</v>
      </c>
      <c r="B83" s="1">
        <v>23</v>
      </c>
      <c r="C83" s="1">
        <v>30</v>
      </c>
      <c r="D83" s="1">
        <v>20</v>
      </c>
      <c r="E83" s="1">
        <v>7</v>
      </c>
      <c r="F83" s="1">
        <v>30</v>
      </c>
      <c r="G83" s="1">
        <v>7</v>
      </c>
      <c r="H83" s="1">
        <v>30</v>
      </c>
      <c r="I83" s="1">
        <v>2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9">
        <v>1</v>
      </c>
      <c r="S83" s="9">
        <v>0</v>
      </c>
      <c r="T83" s="9">
        <v>0</v>
      </c>
      <c r="U83" s="9">
        <v>1</v>
      </c>
      <c r="V83" s="9">
        <v>1</v>
      </c>
      <c r="X83" s="9">
        <v>1</v>
      </c>
      <c r="Y83" s="1">
        <v>2</v>
      </c>
      <c r="Z83" s="1">
        <v>0</v>
      </c>
      <c r="AA83" s="1">
        <f t="shared" si="5"/>
        <v>0</v>
      </c>
      <c r="AB83" s="1">
        <f t="shared" si="6"/>
        <v>1</v>
      </c>
      <c r="AC83" s="9">
        <v>0</v>
      </c>
      <c r="AD83" s="1">
        <f t="shared" si="7"/>
        <v>1</v>
      </c>
      <c r="AE83" s="12">
        <f t="shared" si="8"/>
        <v>5</v>
      </c>
      <c r="AF83" s="16">
        <f t="shared" si="9"/>
        <v>1</v>
      </c>
    </row>
    <row r="84" spans="1:32">
      <c r="A84" t="s">
        <v>175</v>
      </c>
      <c r="B84" s="1">
        <v>0</v>
      </c>
      <c r="C84" s="1">
        <v>0</v>
      </c>
      <c r="D84" s="1">
        <v>5</v>
      </c>
      <c r="E84" s="1">
        <v>7</v>
      </c>
      <c r="F84" s="1">
        <v>10</v>
      </c>
      <c r="G84" s="1">
        <v>6</v>
      </c>
      <c r="H84" s="1">
        <v>0</v>
      </c>
      <c r="I84" s="1">
        <v>1</v>
      </c>
      <c r="J84" s="1">
        <v>0</v>
      </c>
      <c r="K84" s="1">
        <v>0</v>
      </c>
      <c r="L84" s="1">
        <v>0</v>
      </c>
      <c r="M84" s="1">
        <v>0</v>
      </c>
      <c r="N84" s="1">
        <v>1</v>
      </c>
      <c r="O84" s="1">
        <v>1</v>
      </c>
      <c r="P84" s="1">
        <v>1</v>
      </c>
      <c r="Q84" s="9">
        <v>0</v>
      </c>
      <c r="S84" s="9">
        <v>0</v>
      </c>
      <c r="T84" s="9">
        <v>1</v>
      </c>
      <c r="U84" s="9">
        <v>1</v>
      </c>
      <c r="V84" s="9">
        <v>0</v>
      </c>
      <c r="X84" s="9">
        <v>0</v>
      </c>
      <c r="Y84" s="1">
        <v>1</v>
      </c>
      <c r="Z84" s="1">
        <v>1</v>
      </c>
      <c r="AA84" s="1">
        <f t="shared" si="5"/>
        <v>1</v>
      </c>
      <c r="AB84" s="1">
        <f t="shared" si="6"/>
        <v>1</v>
      </c>
      <c r="AC84" s="9">
        <v>0</v>
      </c>
      <c r="AD84" s="1">
        <f t="shared" si="7"/>
        <v>1</v>
      </c>
      <c r="AE84" s="12">
        <f t="shared" si="8"/>
        <v>5</v>
      </c>
      <c r="AF84" s="16">
        <f t="shared" si="9"/>
        <v>1</v>
      </c>
    </row>
    <row r="85" spans="1:32">
      <c r="A85" t="s">
        <v>176</v>
      </c>
      <c r="B85" s="1">
        <v>23</v>
      </c>
      <c r="C85" s="1">
        <v>30</v>
      </c>
      <c r="D85" s="1">
        <v>30</v>
      </c>
      <c r="E85" s="1">
        <v>7</v>
      </c>
      <c r="F85" s="1">
        <v>30</v>
      </c>
      <c r="G85" s="1">
        <v>7</v>
      </c>
      <c r="H85" s="1">
        <v>0</v>
      </c>
      <c r="I85" s="1">
        <v>1</v>
      </c>
      <c r="J85" s="1">
        <v>1</v>
      </c>
      <c r="K85" s="1">
        <v>1</v>
      </c>
      <c r="L85" s="1">
        <v>0</v>
      </c>
      <c r="M85" s="1">
        <v>1</v>
      </c>
      <c r="N85" s="1">
        <v>0</v>
      </c>
      <c r="O85" s="1">
        <v>1</v>
      </c>
      <c r="P85" s="1">
        <v>0</v>
      </c>
      <c r="Q85" s="9">
        <v>0</v>
      </c>
      <c r="S85" s="9">
        <v>0</v>
      </c>
      <c r="T85" s="9">
        <v>1</v>
      </c>
      <c r="U85" s="9">
        <v>0</v>
      </c>
      <c r="V85" s="9">
        <v>1</v>
      </c>
      <c r="X85" s="9">
        <v>1</v>
      </c>
      <c r="Y85" s="1">
        <v>1</v>
      </c>
      <c r="Z85" s="1">
        <v>0</v>
      </c>
      <c r="AA85" s="1">
        <f t="shared" si="5"/>
        <v>0</v>
      </c>
      <c r="AB85" s="1">
        <f t="shared" si="6"/>
        <v>1</v>
      </c>
      <c r="AC85" s="9">
        <v>0</v>
      </c>
      <c r="AD85" s="1">
        <f t="shared" si="7"/>
        <v>1</v>
      </c>
      <c r="AE85" s="12">
        <f t="shared" si="8"/>
        <v>4</v>
      </c>
      <c r="AF85" s="16">
        <f t="shared" si="9"/>
        <v>0</v>
      </c>
    </row>
    <row r="86" spans="1:32">
      <c r="A86" t="s">
        <v>177</v>
      </c>
      <c r="B86" s="1">
        <v>0</v>
      </c>
      <c r="C86" s="1">
        <v>0</v>
      </c>
      <c r="D86" s="1">
        <v>10</v>
      </c>
      <c r="E86" s="1">
        <v>8</v>
      </c>
      <c r="F86" s="1">
        <v>0</v>
      </c>
      <c r="G86" s="1">
        <v>6</v>
      </c>
      <c r="H86" s="1">
        <v>0</v>
      </c>
      <c r="I86" s="1">
        <v>1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9">
        <v>0</v>
      </c>
      <c r="R86" t="s">
        <v>199</v>
      </c>
      <c r="S86" s="9">
        <v>0</v>
      </c>
      <c r="T86" s="9">
        <v>1</v>
      </c>
      <c r="U86" s="9">
        <v>2</v>
      </c>
      <c r="V86" s="9">
        <v>0</v>
      </c>
      <c r="X86" s="9">
        <v>0</v>
      </c>
      <c r="Y86" s="1">
        <v>1</v>
      </c>
      <c r="Z86" s="1">
        <v>1</v>
      </c>
      <c r="AA86" s="1">
        <f t="shared" si="5"/>
        <v>1</v>
      </c>
      <c r="AB86" s="1">
        <f t="shared" si="6"/>
        <v>0</v>
      </c>
      <c r="AC86" s="9">
        <v>0</v>
      </c>
      <c r="AD86" s="1">
        <f t="shared" si="7"/>
        <v>2</v>
      </c>
      <c r="AE86" s="12">
        <f t="shared" si="8"/>
        <v>5</v>
      </c>
      <c r="AF86" s="16">
        <f t="shared" si="9"/>
        <v>1</v>
      </c>
    </row>
    <row r="87" spans="1:32">
      <c r="A87" t="s">
        <v>178</v>
      </c>
      <c r="B87" s="1">
        <v>2</v>
      </c>
      <c r="C87" s="1">
        <v>0</v>
      </c>
      <c r="D87" s="1">
        <v>5</v>
      </c>
      <c r="E87" s="1">
        <v>9</v>
      </c>
      <c r="F87" s="1">
        <v>0</v>
      </c>
      <c r="G87" s="1">
        <v>7</v>
      </c>
      <c r="H87" s="1">
        <v>0</v>
      </c>
      <c r="I87" s="1">
        <v>1</v>
      </c>
      <c r="J87" s="1">
        <v>1</v>
      </c>
      <c r="K87" s="1">
        <v>0</v>
      </c>
      <c r="L87" s="1">
        <v>0</v>
      </c>
      <c r="M87" s="1">
        <v>1</v>
      </c>
      <c r="N87" s="1">
        <v>0</v>
      </c>
      <c r="O87" s="1">
        <v>0</v>
      </c>
      <c r="P87" s="1">
        <v>1</v>
      </c>
      <c r="Q87" s="9">
        <v>0</v>
      </c>
      <c r="S87" s="9">
        <v>0</v>
      </c>
      <c r="T87" s="9">
        <v>1</v>
      </c>
      <c r="U87" s="9">
        <v>1</v>
      </c>
      <c r="V87" s="9">
        <v>1</v>
      </c>
      <c r="X87" s="9">
        <v>1</v>
      </c>
      <c r="Y87" s="1">
        <v>1</v>
      </c>
      <c r="Z87" s="1">
        <v>0</v>
      </c>
      <c r="AA87" s="1">
        <f t="shared" si="5"/>
        <v>0</v>
      </c>
      <c r="AB87" s="1">
        <f t="shared" si="6"/>
        <v>1</v>
      </c>
      <c r="AC87" s="9">
        <v>0</v>
      </c>
      <c r="AD87" s="1">
        <f t="shared" si="7"/>
        <v>1</v>
      </c>
      <c r="AE87" s="12">
        <f t="shared" si="8"/>
        <v>4</v>
      </c>
      <c r="AF87" s="16">
        <f t="shared" si="9"/>
        <v>0</v>
      </c>
    </row>
    <row r="88" spans="1:32">
      <c r="A88" t="s">
        <v>179</v>
      </c>
      <c r="B88" s="1">
        <v>0</v>
      </c>
      <c r="C88" s="1">
        <v>30</v>
      </c>
      <c r="D88" s="1">
        <v>10</v>
      </c>
      <c r="E88" s="1">
        <v>7</v>
      </c>
      <c r="F88" s="1">
        <v>0</v>
      </c>
      <c r="G88" s="1">
        <v>6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2</v>
      </c>
      <c r="O88" s="1">
        <v>2</v>
      </c>
      <c r="P88" s="1">
        <v>0</v>
      </c>
      <c r="Q88" s="9">
        <v>0</v>
      </c>
      <c r="S88" s="9">
        <v>0</v>
      </c>
      <c r="T88" s="9">
        <v>1</v>
      </c>
      <c r="U88" s="9">
        <v>2</v>
      </c>
      <c r="V88" s="9">
        <v>1</v>
      </c>
      <c r="X88" s="9">
        <v>1</v>
      </c>
      <c r="Y88" s="1">
        <v>0</v>
      </c>
      <c r="Z88" s="1">
        <v>1</v>
      </c>
      <c r="AA88" s="1">
        <f t="shared" si="5"/>
        <v>0</v>
      </c>
      <c r="AB88" s="1">
        <f t="shared" si="6"/>
        <v>1</v>
      </c>
      <c r="AC88" s="9">
        <v>0</v>
      </c>
      <c r="AD88" s="1">
        <f t="shared" si="7"/>
        <v>2</v>
      </c>
      <c r="AE88" s="12">
        <f t="shared" si="8"/>
        <v>5</v>
      </c>
      <c r="AF88" s="16">
        <f t="shared" si="9"/>
        <v>1</v>
      </c>
    </row>
    <row r="89" spans="1:32">
      <c r="A89" t="s">
        <v>180</v>
      </c>
      <c r="B89" s="1">
        <v>1</v>
      </c>
      <c r="C89" s="1">
        <v>0</v>
      </c>
      <c r="D89" s="1">
        <v>5</v>
      </c>
      <c r="E89" s="1">
        <v>8</v>
      </c>
      <c r="F89" s="1">
        <v>30</v>
      </c>
      <c r="G89" s="1">
        <v>7</v>
      </c>
      <c r="H89" s="1">
        <v>0</v>
      </c>
      <c r="I89" s="1">
        <v>1</v>
      </c>
      <c r="J89" s="1">
        <v>0</v>
      </c>
      <c r="K89" s="1">
        <v>2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9">
        <v>0</v>
      </c>
      <c r="S89" s="9">
        <v>0</v>
      </c>
      <c r="T89" s="9">
        <v>1</v>
      </c>
      <c r="U89" s="9">
        <v>1</v>
      </c>
      <c r="V89" s="9">
        <v>1</v>
      </c>
      <c r="X89" s="9">
        <v>1</v>
      </c>
      <c r="Y89" s="1">
        <v>1</v>
      </c>
      <c r="Z89" s="1">
        <v>0</v>
      </c>
      <c r="AA89" s="1">
        <f t="shared" si="5"/>
        <v>0</v>
      </c>
      <c r="AB89" s="1">
        <f t="shared" si="6"/>
        <v>1</v>
      </c>
      <c r="AC89" s="9">
        <v>0</v>
      </c>
      <c r="AD89" s="1">
        <f t="shared" si="7"/>
        <v>1</v>
      </c>
      <c r="AE89" s="12">
        <f t="shared" si="8"/>
        <v>4</v>
      </c>
      <c r="AF89" s="16">
        <f t="shared" si="9"/>
        <v>0</v>
      </c>
    </row>
    <row r="90" spans="1:32">
      <c r="A90" t="s">
        <v>181</v>
      </c>
      <c r="B90" s="1">
        <v>1</v>
      </c>
      <c r="C90" s="1">
        <v>30</v>
      </c>
      <c r="D90" s="1">
        <v>60</v>
      </c>
      <c r="E90" s="1">
        <v>8</v>
      </c>
      <c r="F90" s="1">
        <v>30</v>
      </c>
      <c r="G90" s="1">
        <v>6</v>
      </c>
      <c r="H90" s="1">
        <v>0</v>
      </c>
      <c r="I90" s="1">
        <v>3</v>
      </c>
      <c r="J90" s="1">
        <v>1</v>
      </c>
      <c r="K90" s="1">
        <v>0</v>
      </c>
      <c r="L90" s="1">
        <v>2</v>
      </c>
      <c r="M90" s="1">
        <v>0</v>
      </c>
      <c r="N90" s="1">
        <v>0</v>
      </c>
      <c r="O90" s="1">
        <v>0</v>
      </c>
      <c r="P90" s="1">
        <v>0</v>
      </c>
      <c r="Q90" s="9">
        <v>0</v>
      </c>
      <c r="S90" s="9">
        <v>0</v>
      </c>
      <c r="T90" s="9">
        <v>2</v>
      </c>
      <c r="U90" s="9">
        <v>0</v>
      </c>
      <c r="V90" s="9">
        <v>1</v>
      </c>
      <c r="X90" s="9">
        <v>1</v>
      </c>
      <c r="Y90" s="1">
        <v>3</v>
      </c>
      <c r="Z90" s="1">
        <v>1</v>
      </c>
      <c r="AA90" s="1">
        <f t="shared" si="5"/>
        <v>0</v>
      </c>
      <c r="AB90" s="1">
        <f t="shared" si="6"/>
        <v>1</v>
      </c>
      <c r="AC90" s="9">
        <v>0</v>
      </c>
      <c r="AD90" s="1">
        <f t="shared" si="7"/>
        <v>1</v>
      </c>
      <c r="AE90" s="12">
        <f t="shared" si="8"/>
        <v>7</v>
      </c>
      <c r="AF90" s="16">
        <f t="shared" si="9"/>
        <v>1</v>
      </c>
    </row>
    <row r="91" spans="1:32">
      <c r="A91" t="s">
        <v>182</v>
      </c>
      <c r="B91" s="1">
        <v>23</v>
      </c>
      <c r="C91" s="1">
        <v>0</v>
      </c>
      <c r="D91" s="1">
        <v>180</v>
      </c>
      <c r="E91" s="1">
        <v>8</v>
      </c>
      <c r="F91" s="1">
        <v>0</v>
      </c>
      <c r="G91" s="1">
        <v>6</v>
      </c>
      <c r="H91" s="1">
        <v>0</v>
      </c>
      <c r="I91" s="1">
        <v>3</v>
      </c>
      <c r="J91" s="1">
        <v>3</v>
      </c>
      <c r="K91" s="1">
        <v>0</v>
      </c>
      <c r="L91" s="1">
        <v>1</v>
      </c>
      <c r="M91" s="1">
        <v>0</v>
      </c>
      <c r="N91" s="1">
        <v>0</v>
      </c>
      <c r="O91" s="1">
        <v>1</v>
      </c>
      <c r="P91" s="1">
        <v>1</v>
      </c>
      <c r="Q91" s="9">
        <v>3</v>
      </c>
      <c r="S91" s="9">
        <v>0</v>
      </c>
      <c r="T91" s="9">
        <v>0</v>
      </c>
      <c r="U91" s="9">
        <v>2</v>
      </c>
      <c r="V91" s="9">
        <v>2</v>
      </c>
      <c r="X91" s="9">
        <v>2</v>
      </c>
      <c r="Y91" s="1">
        <v>3</v>
      </c>
      <c r="Z91" s="1">
        <v>1</v>
      </c>
      <c r="AA91" s="1">
        <f t="shared" si="5"/>
        <v>2</v>
      </c>
      <c r="AB91" s="1">
        <f t="shared" si="6"/>
        <v>1</v>
      </c>
      <c r="AC91" s="9">
        <v>0</v>
      </c>
      <c r="AD91" s="1">
        <f t="shared" si="7"/>
        <v>1</v>
      </c>
      <c r="AE91" s="12">
        <f t="shared" si="8"/>
        <v>10</v>
      </c>
      <c r="AF91" s="16">
        <f t="shared" si="9"/>
        <v>1</v>
      </c>
    </row>
    <row r="92" spans="1:32">
      <c r="A92" t="s">
        <v>183</v>
      </c>
      <c r="B92" s="1">
        <v>0</v>
      </c>
      <c r="C92" s="1">
        <v>30</v>
      </c>
      <c r="D92" s="1">
        <v>1</v>
      </c>
      <c r="E92" s="1">
        <v>9</v>
      </c>
      <c r="F92" s="1">
        <v>30</v>
      </c>
      <c r="G92" s="1">
        <v>7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1</v>
      </c>
      <c r="O92" s="1">
        <v>1</v>
      </c>
      <c r="P92" s="1">
        <v>0</v>
      </c>
      <c r="Q92" s="9">
        <v>0</v>
      </c>
      <c r="S92" s="9">
        <v>0</v>
      </c>
      <c r="T92" s="9">
        <v>0</v>
      </c>
      <c r="U92" s="9">
        <v>1</v>
      </c>
      <c r="V92" s="9">
        <v>0</v>
      </c>
      <c r="X92" s="9">
        <v>0</v>
      </c>
      <c r="Y92" s="1">
        <v>0</v>
      </c>
      <c r="Z92" s="1">
        <v>0</v>
      </c>
      <c r="AA92" s="1">
        <f t="shared" si="5"/>
        <v>1</v>
      </c>
      <c r="AB92" s="1">
        <f t="shared" si="6"/>
        <v>1</v>
      </c>
      <c r="AC92" s="9">
        <v>0</v>
      </c>
      <c r="AD92" s="1">
        <f t="shared" si="7"/>
        <v>1</v>
      </c>
      <c r="AE92" s="12">
        <f t="shared" si="8"/>
        <v>3</v>
      </c>
      <c r="AF92" s="16">
        <f t="shared" si="9"/>
        <v>0</v>
      </c>
    </row>
    <row r="93" spans="1:32">
      <c r="A93" t="s">
        <v>184</v>
      </c>
      <c r="B93" s="1">
        <v>1</v>
      </c>
      <c r="C93" s="1">
        <v>30</v>
      </c>
      <c r="D93" s="1">
        <v>30</v>
      </c>
      <c r="E93" s="1">
        <v>9</v>
      </c>
      <c r="F93" s="1">
        <v>0</v>
      </c>
      <c r="G93" s="1">
        <v>5</v>
      </c>
      <c r="H93" s="1">
        <v>30</v>
      </c>
      <c r="I93" s="1">
        <v>2</v>
      </c>
      <c r="J93" s="1">
        <v>0</v>
      </c>
      <c r="K93" s="1">
        <v>0</v>
      </c>
      <c r="L93" s="1">
        <v>0</v>
      </c>
      <c r="M93" s="1">
        <v>0</v>
      </c>
      <c r="N93" s="1">
        <v>1</v>
      </c>
      <c r="O93" s="1">
        <v>1</v>
      </c>
      <c r="P93" s="1">
        <v>0</v>
      </c>
      <c r="Q93" s="9">
        <v>0</v>
      </c>
      <c r="R93" s="9"/>
      <c r="S93" s="9">
        <v>0</v>
      </c>
      <c r="T93" s="9">
        <v>1</v>
      </c>
      <c r="U93" s="9">
        <v>1</v>
      </c>
      <c r="V93" s="9">
        <v>1</v>
      </c>
      <c r="X93" s="9">
        <v>1</v>
      </c>
      <c r="Y93" s="1">
        <v>2</v>
      </c>
      <c r="Z93" s="1">
        <v>2</v>
      </c>
      <c r="AA93" s="1">
        <f t="shared" si="5"/>
        <v>2</v>
      </c>
      <c r="AB93" s="1">
        <f t="shared" si="6"/>
        <v>1</v>
      </c>
      <c r="AC93" s="9">
        <v>0</v>
      </c>
      <c r="AD93" s="1">
        <f t="shared" si="7"/>
        <v>1</v>
      </c>
      <c r="AE93" s="12">
        <f t="shared" si="8"/>
        <v>9</v>
      </c>
      <c r="AF93" s="16">
        <f t="shared" si="9"/>
        <v>1</v>
      </c>
    </row>
    <row r="94" spans="1:32">
      <c r="A94" t="s">
        <v>185</v>
      </c>
      <c r="B94" s="1">
        <v>1</v>
      </c>
      <c r="C94" s="1">
        <v>30</v>
      </c>
      <c r="D94" s="1">
        <v>5</v>
      </c>
      <c r="E94" s="1">
        <v>6</v>
      </c>
      <c r="F94" s="1">
        <v>40</v>
      </c>
      <c r="G94" s="1">
        <v>5</v>
      </c>
      <c r="H94" s="1">
        <v>0</v>
      </c>
      <c r="I94" s="1">
        <v>0</v>
      </c>
      <c r="J94" s="1">
        <v>3</v>
      </c>
      <c r="K94" s="1">
        <v>2</v>
      </c>
      <c r="L94" s="1">
        <v>2</v>
      </c>
      <c r="M94" s="1">
        <v>2</v>
      </c>
      <c r="N94" s="1">
        <v>0</v>
      </c>
      <c r="O94" s="1">
        <v>0</v>
      </c>
      <c r="P94" s="1">
        <v>0</v>
      </c>
      <c r="Q94" s="9">
        <v>2</v>
      </c>
      <c r="S94" s="9">
        <v>0</v>
      </c>
      <c r="T94" s="9">
        <v>1</v>
      </c>
      <c r="U94" s="9">
        <v>2</v>
      </c>
      <c r="V94" s="9">
        <v>2</v>
      </c>
      <c r="X94" s="9">
        <v>2</v>
      </c>
      <c r="Y94" s="1">
        <v>0</v>
      </c>
      <c r="Z94" s="1">
        <v>2</v>
      </c>
      <c r="AA94" s="1">
        <f t="shared" si="5"/>
        <v>0</v>
      </c>
      <c r="AB94" s="1">
        <f t="shared" si="6"/>
        <v>2</v>
      </c>
      <c r="AC94" s="9">
        <v>0</v>
      </c>
      <c r="AD94" s="1">
        <f t="shared" si="7"/>
        <v>2</v>
      </c>
      <c r="AE94" s="12">
        <f t="shared" si="8"/>
        <v>8</v>
      </c>
      <c r="AF94" s="16">
        <f t="shared" si="9"/>
        <v>1</v>
      </c>
    </row>
    <row r="95" spans="1:32">
      <c r="A95" t="s">
        <v>186</v>
      </c>
      <c r="B95" s="1">
        <v>0</v>
      </c>
      <c r="C95" s="1">
        <v>30</v>
      </c>
      <c r="D95" s="1">
        <v>10</v>
      </c>
      <c r="E95" s="1">
        <v>9</v>
      </c>
      <c r="F95" s="1">
        <v>0</v>
      </c>
      <c r="G95" s="1">
        <v>8</v>
      </c>
      <c r="H95" s="1">
        <v>0</v>
      </c>
      <c r="I95" s="1">
        <v>0</v>
      </c>
      <c r="J95" s="1">
        <v>1</v>
      </c>
      <c r="K95" s="1">
        <v>1</v>
      </c>
      <c r="L95" s="1">
        <v>1</v>
      </c>
      <c r="M95" s="1">
        <v>0</v>
      </c>
      <c r="N95" s="1">
        <v>1</v>
      </c>
      <c r="O95" s="1">
        <v>1</v>
      </c>
      <c r="P95" s="1">
        <v>1</v>
      </c>
      <c r="Q95" s="9">
        <v>0</v>
      </c>
      <c r="S95" s="9">
        <v>0</v>
      </c>
      <c r="T95" s="9">
        <v>0</v>
      </c>
      <c r="U95" s="9">
        <v>1</v>
      </c>
      <c r="V95" s="9">
        <v>1</v>
      </c>
      <c r="X95" s="9">
        <v>1</v>
      </c>
      <c r="Y95" s="1">
        <v>0</v>
      </c>
      <c r="Z95" s="1">
        <v>0</v>
      </c>
      <c r="AA95" s="1">
        <f t="shared" si="5"/>
        <v>0</v>
      </c>
      <c r="AB95" s="1">
        <f t="shared" si="6"/>
        <v>1</v>
      </c>
      <c r="AC95" s="9">
        <v>0</v>
      </c>
      <c r="AD95" s="1">
        <f t="shared" si="7"/>
        <v>1</v>
      </c>
      <c r="AE95" s="12">
        <f t="shared" si="8"/>
        <v>3</v>
      </c>
      <c r="AF95" s="16">
        <f t="shared" si="9"/>
        <v>0</v>
      </c>
    </row>
    <row r="96" spans="1:32">
      <c r="A96" t="s">
        <v>187</v>
      </c>
      <c r="B96" s="1">
        <v>11</v>
      </c>
      <c r="C96" s="1">
        <v>30</v>
      </c>
      <c r="D96" s="1">
        <v>45</v>
      </c>
      <c r="E96" s="1">
        <v>6</v>
      </c>
      <c r="F96" s="1">
        <v>30</v>
      </c>
      <c r="G96" s="1">
        <v>6</v>
      </c>
      <c r="H96" s="1">
        <v>0</v>
      </c>
      <c r="I96" s="1">
        <v>3</v>
      </c>
      <c r="J96" s="1">
        <v>3</v>
      </c>
      <c r="K96" s="1">
        <v>1</v>
      </c>
      <c r="L96" s="1">
        <v>0</v>
      </c>
      <c r="M96" s="1">
        <v>0</v>
      </c>
      <c r="N96" s="1">
        <v>0</v>
      </c>
      <c r="O96" s="1">
        <v>1</v>
      </c>
      <c r="P96" s="1">
        <v>0</v>
      </c>
      <c r="Q96" s="9">
        <v>3</v>
      </c>
      <c r="S96" s="9">
        <v>0</v>
      </c>
      <c r="T96" s="9">
        <v>2</v>
      </c>
      <c r="U96" s="9">
        <v>1</v>
      </c>
      <c r="V96" s="9">
        <v>2</v>
      </c>
      <c r="X96" s="9">
        <v>2</v>
      </c>
      <c r="Y96" s="1">
        <v>3</v>
      </c>
      <c r="Z96" s="1">
        <v>1</v>
      </c>
      <c r="AA96" s="1">
        <f t="shared" si="5"/>
        <v>3</v>
      </c>
      <c r="AB96" s="1">
        <f t="shared" si="6"/>
        <v>1</v>
      </c>
      <c r="AC96" s="9">
        <v>0</v>
      </c>
      <c r="AD96" s="1">
        <f t="shared" si="7"/>
        <v>2</v>
      </c>
      <c r="AE96" s="12">
        <f t="shared" si="8"/>
        <v>12</v>
      </c>
      <c r="AF96" s="16">
        <f t="shared" si="9"/>
        <v>1</v>
      </c>
    </row>
    <row r="97" spans="1:32">
      <c r="A97" t="s">
        <v>188</v>
      </c>
      <c r="B97" s="1">
        <v>2</v>
      </c>
      <c r="C97" s="1">
        <v>0</v>
      </c>
      <c r="D97" s="1">
        <v>15</v>
      </c>
      <c r="E97" s="1">
        <v>9</v>
      </c>
      <c r="F97" s="1">
        <v>30</v>
      </c>
      <c r="G97" s="1">
        <v>7</v>
      </c>
      <c r="H97" s="1">
        <v>30</v>
      </c>
      <c r="I97" s="1">
        <v>3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1</v>
      </c>
      <c r="Q97" s="9">
        <v>0</v>
      </c>
      <c r="S97" s="9">
        <v>0</v>
      </c>
      <c r="T97" s="9">
        <v>0</v>
      </c>
      <c r="U97" s="9">
        <v>1</v>
      </c>
      <c r="V97" s="9">
        <v>2</v>
      </c>
      <c r="X97" s="9">
        <v>2</v>
      </c>
      <c r="Y97" s="1">
        <v>2</v>
      </c>
      <c r="Z97" s="1">
        <v>0</v>
      </c>
      <c r="AA97" s="1">
        <f t="shared" si="5"/>
        <v>0</v>
      </c>
      <c r="AB97" s="1">
        <f t="shared" si="6"/>
        <v>1</v>
      </c>
      <c r="AC97" s="9">
        <v>0</v>
      </c>
      <c r="AD97" s="1">
        <f t="shared" si="7"/>
        <v>1</v>
      </c>
      <c r="AE97" s="12">
        <f t="shared" si="8"/>
        <v>6</v>
      </c>
      <c r="AF97" s="16">
        <f t="shared" si="9"/>
        <v>1</v>
      </c>
    </row>
    <row r="98" spans="1:32">
      <c r="A98" t="s">
        <v>189</v>
      </c>
      <c r="B98" s="1">
        <v>1</v>
      </c>
      <c r="C98" s="1">
        <v>0</v>
      </c>
      <c r="D98" s="1">
        <v>30</v>
      </c>
      <c r="E98" s="1">
        <v>9</v>
      </c>
      <c r="F98" s="1">
        <v>0</v>
      </c>
      <c r="G98" s="1">
        <v>7</v>
      </c>
      <c r="H98" s="1">
        <v>0</v>
      </c>
      <c r="I98" s="1">
        <v>3</v>
      </c>
      <c r="J98" s="1">
        <v>1</v>
      </c>
      <c r="K98" s="1">
        <v>1</v>
      </c>
      <c r="L98" s="1">
        <v>0</v>
      </c>
      <c r="M98" s="1">
        <v>0</v>
      </c>
      <c r="N98" s="1">
        <v>1</v>
      </c>
      <c r="O98" s="1">
        <v>1</v>
      </c>
      <c r="P98" s="1">
        <v>0</v>
      </c>
      <c r="Q98" s="9">
        <v>1</v>
      </c>
      <c r="S98" s="9">
        <v>3</v>
      </c>
      <c r="T98" s="9">
        <v>1</v>
      </c>
      <c r="U98" s="9">
        <v>1</v>
      </c>
      <c r="V98" s="9">
        <v>1</v>
      </c>
      <c r="X98" s="9">
        <v>1</v>
      </c>
      <c r="Y98" s="1">
        <v>2</v>
      </c>
      <c r="Z98" s="1">
        <v>0</v>
      </c>
      <c r="AA98" s="1">
        <f t="shared" si="5"/>
        <v>0</v>
      </c>
      <c r="AB98" s="1">
        <f t="shared" si="6"/>
        <v>1</v>
      </c>
      <c r="AC98" s="9">
        <v>3</v>
      </c>
      <c r="AD98" s="1">
        <f t="shared" si="7"/>
        <v>1</v>
      </c>
      <c r="AE98" s="12">
        <f t="shared" si="8"/>
        <v>8</v>
      </c>
      <c r="AF98" s="16">
        <f t="shared" si="9"/>
        <v>1</v>
      </c>
    </row>
    <row r="99" spans="1:32">
      <c r="A99" t="s">
        <v>190</v>
      </c>
      <c r="B99" s="1">
        <v>3</v>
      </c>
      <c r="C99" s="1">
        <v>0</v>
      </c>
      <c r="D99" s="1">
        <v>5</v>
      </c>
      <c r="E99" s="1">
        <v>9</v>
      </c>
      <c r="F99" s="1">
        <v>0</v>
      </c>
      <c r="G99" s="1">
        <v>6</v>
      </c>
      <c r="H99" s="1">
        <v>0</v>
      </c>
      <c r="I99" s="1">
        <v>0</v>
      </c>
      <c r="J99" s="1">
        <v>1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  <c r="Q99" s="9">
        <v>0</v>
      </c>
      <c r="S99" s="9">
        <v>0</v>
      </c>
      <c r="T99" s="9">
        <v>0</v>
      </c>
      <c r="U99" s="9">
        <v>1</v>
      </c>
      <c r="V99" s="9">
        <v>1</v>
      </c>
      <c r="X99" s="9">
        <v>1</v>
      </c>
      <c r="Y99" s="1">
        <v>0</v>
      </c>
      <c r="Z99" s="1">
        <v>1</v>
      </c>
      <c r="AA99" s="1">
        <f t="shared" si="5"/>
        <v>0</v>
      </c>
      <c r="AB99" s="1">
        <f t="shared" si="6"/>
        <v>1</v>
      </c>
      <c r="AC99" s="9">
        <v>0</v>
      </c>
      <c r="AD99" s="1">
        <f t="shared" si="7"/>
        <v>1</v>
      </c>
      <c r="AE99" s="12">
        <f t="shared" si="8"/>
        <v>4</v>
      </c>
      <c r="AF99" s="16">
        <f t="shared" si="9"/>
        <v>0</v>
      </c>
    </row>
    <row r="100" spans="1:32">
      <c r="A100" t="s">
        <v>191</v>
      </c>
      <c r="B100" s="1">
        <v>0</v>
      </c>
      <c r="C100" s="1">
        <v>30</v>
      </c>
      <c r="D100" s="1">
        <v>10</v>
      </c>
      <c r="E100" s="1">
        <v>8</v>
      </c>
      <c r="F100" s="1">
        <v>30</v>
      </c>
      <c r="G100" s="1">
        <v>7</v>
      </c>
      <c r="H100" s="1">
        <v>0</v>
      </c>
      <c r="I100" s="1">
        <v>1</v>
      </c>
      <c r="J100" s="1">
        <v>1</v>
      </c>
      <c r="K100" s="1">
        <v>0</v>
      </c>
      <c r="L100" s="1">
        <v>0</v>
      </c>
      <c r="M100" s="1">
        <v>0</v>
      </c>
      <c r="N100" s="1">
        <v>1</v>
      </c>
      <c r="O100" s="1">
        <v>1</v>
      </c>
      <c r="P100" s="1">
        <v>0</v>
      </c>
      <c r="Q100" s="9">
        <v>0</v>
      </c>
      <c r="S100" s="9">
        <v>1</v>
      </c>
      <c r="T100" s="9">
        <v>1</v>
      </c>
      <c r="U100" s="9">
        <v>1</v>
      </c>
      <c r="V100" s="9">
        <v>1</v>
      </c>
      <c r="X100" s="9">
        <v>1</v>
      </c>
      <c r="Y100" s="1">
        <v>1</v>
      </c>
      <c r="Z100" s="1">
        <v>0</v>
      </c>
      <c r="AA100" s="1">
        <f t="shared" si="5"/>
        <v>0</v>
      </c>
      <c r="AB100" s="1">
        <f t="shared" si="6"/>
        <v>1</v>
      </c>
      <c r="AC100" s="9">
        <v>1</v>
      </c>
      <c r="AD100" s="1">
        <f t="shared" si="7"/>
        <v>1</v>
      </c>
      <c r="AE100" s="12">
        <f t="shared" si="8"/>
        <v>5</v>
      </c>
      <c r="AF100" s="16">
        <f t="shared" si="9"/>
        <v>1</v>
      </c>
    </row>
    <row r="101" spans="1:32">
      <c r="A101" t="s">
        <v>192</v>
      </c>
      <c r="B101" s="1">
        <v>0</v>
      </c>
      <c r="C101" s="1">
        <v>30</v>
      </c>
      <c r="D101" s="1">
        <v>60</v>
      </c>
      <c r="E101" s="1">
        <v>9</v>
      </c>
      <c r="F101" s="1">
        <v>0</v>
      </c>
      <c r="G101" s="1">
        <v>7</v>
      </c>
      <c r="H101" s="1">
        <v>30</v>
      </c>
      <c r="I101" s="1">
        <v>3</v>
      </c>
      <c r="J101" s="1">
        <v>1</v>
      </c>
      <c r="K101" s="1">
        <v>3</v>
      </c>
      <c r="L101" s="1">
        <v>1</v>
      </c>
      <c r="M101" s="1">
        <v>0</v>
      </c>
      <c r="N101" s="1">
        <v>0</v>
      </c>
      <c r="O101" s="1">
        <v>3</v>
      </c>
      <c r="P101" s="1">
        <v>3</v>
      </c>
      <c r="Q101" s="9">
        <v>2</v>
      </c>
      <c r="S101" s="9">
        <v>0</v>
      </c>
      <c r="T101" s="9">
        <v>2</v>
      </c>
      <c r="U101" s="9">
        <v>1</v>
      </c>
      <c r="V101" s="9">
        <v>1</v>
      </c>
      <c r="X101" s="9">
        <v>1</v>
      </c>
      <c r="Y101" s="1">
        <v>3</v>
      </c>
      <c r="Z101" s="1">
        <v>0</v>
      </c>
      <c r="AA101" s="1">
        <f t="shared" si="5"/>
        <v>0</v>
      </c>
      <c r="AB101" s="1">
        <f t="shared" si="6"/>
        <v>2</v>
      </c>
      <c r="AC101" s="9">
        <v>0</v>
      </c>
      <c r="AD101" s="1">
        <f t="shared" si="7"/>
        <v>2</v>
      </c>
      <c r="AE101" s="12">
        <f t="shared" si="8"/>
        <v>8</v>
      </c>
      <c r="AF101" s="16">
        <f t="shared" si="9"/>
        <v>1</v>
      </c>
    </row>
    <row r="102" spans="1:32">
      <c r="A102" t="s">
        <v>193</v>
      </c>
      <c r="B102" s="1">
        <v>2</v>
      </c>
      <c r="C102" s="1">
        <v>0</v>
      </c>
      <c r="D102" s="1">
        <v>5</v>
      </c>
      <c r="E102" s="1">
        <v>8</v>
      </c>
      <c r="F102" s="1">
        <v>30</v>
      </c>
      <c r="G102" s="1">
        <v>6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  <c r="M102" s="1">
        <v>1</v>
      </c>
      <c r="N102" s="1">
        <v>0</v>
      </c>
      <c r="O102" s="1">
        <v>0</v>
      </c>
      <c r="P102" s="1">
        <v>0</v>
      </c>
      <c r="Q102" s="9">
        <v>0</v>
      </c>
      <c r="S102" s="9">
        <v>0</v>
      </c>
      <c r="T102" s="9">
        <v>0</v>
      </c>
      <c r="U102" s="9">
        <v>1</v>
      </c>
      <c r="V102" s="9">
        <v>1</v>
      </c>
      <c r="X102" s="9">
        <v>1</v>
      </c>
      <c r="Y102" s="1">
        <v>0</v>
      </c>
      <c r="Z102" s="1">
        <v>1</v>
      </c>
      <c r="AA102" s="1">
        <f t="shared" si="5"/>
        <v>0</v>
      </c>
      <c r="AB102" s="1">
        <f t="shared" si="6"/>
        <v>1</v>
      </c>
      <c r="AC102" s="9">
        <v>0</v>
      </c>
      <c r="AD102" s="1">
        <f t="shared" si="7"/>
        <v>1</v>
      </c>
      <c r="AE102" s="12">
        <f t="shared" si="8"/>
        <v>4</v>
      </c>
      <c r="AF102" s="16">
        <f t="shared" si="9"/>
        <v>0</v>
      </c>
    </row>
    <row r="103" spans="1:32">
      <c r="A103" t="s">
        <v>194</v>
      </c>
      <c r="B103" s="1">
        <v>1</v>
      </c>
      <c r="C103" s="1">
        <v>30</v>
      </c>
      <c r="D103" s="1">
        <v>5</v>
      </c>
      <c r="E103" s="1">
        <v>9</v>
      </c>
      <c r="F103" s="1">
        <v>0</v>
      </c>
      <c r="G103" s="1">
        <v>7</v>
      </c>
      <c r="H103" s="1">
        <v>30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  <c r="Q103" s="9">
        <v>0</v>
      </c>
      <c r="S103" s="9">
        <v>0</v>
      </c>
      <c r="T103" s="9">
        <v>0</v>
      </c>
      <c r="U103" s="9">
        <v>0</v>
      </c>
      <c r="V103" s="9">
        <v>0</v>
      </c>
      <c r="X103" s="9">
        <v>0</v>
      </c>
      <c r="Y103" s="1">
        <v>0</v>
      </c>
      <c r="Z103" s="1">
        <v>0</v>
      </c>
      <c r="AA103" s="1">
        <f t="shared" si="5"/>
        <v>0</v>
      </c>
      <c r="AB103" s="1">
        <f t="shared" si="6"/>
        <v>0</v>
      </c>
      <c r="AC103" s="9">
        <v>0</v>
      </c>
      <c r="AD103" s="1">
        <f t="shared" si="7"/>
        <v>0</v>
      </c>
      <c r="AE103" s="12">
        <f t="shared" si="8"/>
        <v>0</v>
      </c>
      <c r="AF103" s="16">
        <f t="shared" si="9"/>
        <v>0</v>
      </c>
    </row>
    <row r="104" spans="1:32">
      <c r="A104" t="s">
        <v>195</v>
      </c>
      <c r="B104" s="1">
        <v>3</v>
      </c>
      <c r="C104" s="1">
        <v>30</v>
      </c>
      <c r="D104" s="1">
        <v>30</v>
      </c>
      <c r="E104" s="1">
        <v>12</v>
      </c>
      <c r="F104" s="1">
        <v>30</v>
      </c>
      <c r="G104" s="1">
        <v>8</v>
      </c>
      <c r="H104" s="1">
        <v>0</v>
      </c>
      <c r="I104" s="1">
        <v>3</v>
      </c>
      <c r="J104" s="1">
        <v>3</v>
      </c>
      <c r="K104" s="1">
        <v>2</v>
      </c>
      <c r="L104" s="1">
        <v>1</v>
      </c>
      <c r="M104" s="1">
        <v>1</v>
      </c>
      <c r="N104" s="1">
        <v>1</v>
      </c>
      <c r="O104" s="1">
        <v>2</v>
      </c>
      <c r="P104" s="1">
        <v>2</v>
      </c>
      <c r="Q104" s="9">
        <v>1</v>
      </c>
      <c r="S104" s="9">
        <v>1</v>
      </c>
      <c r="T104" s="9">
        <v>0</v>
      </c>
      <c r="U104" s="9">
        <v>0</v>
      </c>
      <c r="V104" s="9">
        <v>2</v>
      </c>
      <c r="X104" s="9">
        <v>2</v>
      </c>
      <c r="Y104" s="1">
        <v>2</v>
      </c>
      <c r="Z104" s="1">
        <v>0</v>
      </c>
      <c r="AA104" s="1">
        <f t="shared" si="5"/>
        <v>0</v>
      </c>
      <c r="AB104" s="1">
        <f t="shared" si="6"/>
        <v>2</v>
      </c>
      <c r="AC104" s="9">
        <v>1</v>
      </c>
      <c r="AD104" s="1">
        <f t="shared" si="7"/>
        <v>0</v>
      </c>
      <c r="AE104" s="12">
        <f t="shared" si="8"/>
        <v>7</v>
      </c>
      <c r="AF104" s="16">
        <f t="shared" si="9"/>
        <v>1</v>
      </c>
    </row>
    <row r="105" spans="1:32">
      <c r="A105" t="s">
        <v>196</v>
      </c>
      <c r="B105" s="1">
        <v>23</v>
      </c>
      <c r="C105" s="1">
        <v>50</v>
      </c>
      <c r="D105" s="1">
        <v>6</v>
      </c>
      <c r="E105" s="1">
        <v>8</v>
      </c>
      <c r="F105" s="1">
        <v>20</v>
      </c>
      <c r="G105" s="1">
        <v>7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  <c r="N105" s="1">
        <v>1</v>
      </c>
      <c r="O105" s="1">
        <v>1</v>
      </c>
      <c r="P105" s="1">
        <v>1</v>
      </c>
      <c r="Q105" s="9">
        <v>0</v>
      </c>
      <c r="S105" s="9">
        <v>0</v>
      </c>
      <c r="T105" s="9">
        <v>1</v>
      </c>
      <c r="U105" s="9">
        <v>1</v>
      </c>
      <c r="V105" s="9">
        <v>1</v>
      </c>
      <c r="X105" s="9">
        <v>1</v>
      </c>
      <c r="Y105" s="1">
        <v>0</v>
      </c>
      <c r="Z105" s="1">
        <v>0</v>
      </c>
      <c r="AA105" s="1">
        <f t="shared" si="5"/>
        <v>1</v>
      </c>
      <c r="AB105" s="1">
        <f t="shared" si="6"/>
        <v>1</v>
      </c>
      <c r="AC105" s="9">
        <v>0</v>
      </c>
      <c r="AD105" s="1">
        <f t="shared" si="7"/>
        <v>1</v>
      </c>
      <c r="AE105" s="12">
        <f t="shared" si="8"/>
        <v>4</v>
      </c>
      <c r="AF105" s="16">
        <f t="shared" si="9"/>
        <v>0</v>
      </c>
    </row>
    <row r="106" spans="1:32">
      <c r="A106" t="s">
        <v>197</v>
      </c>
      <c r="B106" s="1">
        <v>3</v>
      </c>
      <c r="C106" s="1">
        <v>0</v>
      </c>
      <c r="D106" s="1">
        <v>30</v>
      </c>
      <c r="E106" s="1">
        <v>11</v>
      </c>
      <c r="F106" s="1">
        <v>0</v>
      </c>
      <c r="G106" s="1">
        <v>7</v>
      </c>
      <c r="H106" s="1">
        <v>0</v>
      </c>
      <c r="I106" s="1">
        <v>2</v>
      </c>
      <c r="J106" s="1">
        <v>3</v>
      </c>
      <c r="K106" s="1">
        <v>3</v>
      </c>
      <c r="L106" s="1">
        <v>3</v>
      </c>
      <c r="M106" s="1">
        <v>0</v>
      </c>
      <c r="N106" s="1">
        <v>1</v>
      </c>
      <c r="O106" s="1">
        <v>2</v>
      </c>
      <c r="P106" s="1">
        <v>0</v>
      </c>
      <c r="Q106" s="9">
        <v>0</v>
      </c>
      <c r="S106" s="9">
        <v>0</v>
      </c>
      <c r="T106" s="9">
        <v>2</v>
      </c>
      <c r="U106" s="9">
        <v>1</v>
      </c>
      <c r="V106" s="9">
        <v>2</v>
      </c>
      <c r="X106" s="9">
        <v>2</v>
      </c>
      <c r="Y106" s="1">
        <v>2</v>
      </c>
      <c r="Z106" s="1">
        <v>0</v>
      </c>
      <c r="AA106" s="1">
        <f t="shared" si="5"/>
        <v>0</v>
      </c>
      <c r="AB106" s="1">
        <f t="shared" si="6"/>
        <v>2</v>
      </c>
      <c r="AC106" s="9">
        <v>0</v>
      </c>
      <c r="AD106" s="1">
        <f t="shared" si="7"/>
        <v>2</v>
      </c>
      <c r="AE106" s="12">
        <f t="shared" si="8"/>
        <v>8</v>
      </c>
      <c r="AF106" s="16">
        <f t="shared" si="9"/>
        <v>1</v>
      </c>
    </row>
  </sheetData>
  <mergeCells count="19">
    <mergeCell ref="B1:V2"/>
    <mergeCell ref="B3:C3"/>
    <mergeCell ref="X3:X4"/>
    <mergeCell ref="Y3:Y4"/>
    <mergeCell ref="A1:A4"/>
    <mergeCell ref="E3:F3"/>
    <mergeCell ref="G3:H3"/>
    <mergeCell ref="I3:R3"/>
    <mergeCell ref="S3:S4"/>
    <mergeCell ref="AF3:AF4"/>
    <mergeCell ref="T3:T4"/>
    <mergeCell ref="Z3:Z4"/>
    <mergeCell ref="AA3:AA4"/>
    <mergeCell ref="AB3:AB4"/>
    <mergeCell ref="AC3:AC4"/>
    <mergeCell ref="AD3:AD4"/>
    <mergeCell ref="U3:U4"/>
    <mergeCell ref="V3:V4"/>
    <mergeCell ref="AE3:AE4"/>
  </mergeCells>
  <phoneticPr fontId="1" type="noConversion"/>
  <pageMargins left="0.75" right="0.75" top="1" bottom="1" header="0.51" footer="0.51"/>
  <pageSetup paperSize="9" fitToWidth="0" fitToHeight="0" orientation="portrait" errors="NA" horizontalDpi="96" verticalDpi="96" r:id="rId1"/>
  <headerFooter scaleWithDoc="0"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087DC-5EF7-41A1-8A71-5E9315582C0D}">
  <dimension ref="A1:AU217"/>
  <sheetViews>
    <sheetView tabSelected="1" topLeftCell="U1" zoomScale="75" zoomScaleNormal="75" zoomScaleSheetLayoutView="100" workbookViewId="0">
      <selection activeCell="AV26" sqref="AV26"/>
    </sheetView>
  </sheetViews>
  <sheetFormatPr defaultRowHeight="16.5"/>
  <cols>
    <col min="1" max="1" width="17.25" bestFit="1" customWidth="1"/>
    <col min="10" max="11" width="10.875" bestFit="1" customWidth="1"/>
    <col min="19" max="19" width="10.875" bestFit="1" customWidth="1"/>
    <col min="20" max="20" width="14.375" bestFit="1" customWidth="1"/>
    <col min="21" max="21" width="10.875" bestFit="1" customWidth="1"/>
    <col min="28" max="28" width="10.875" bestFit="1" customWidth="1"/>
    <col min="29" max="29" width="13.5" bestFit="1" customWidth="1"/>
    <col min="30" max="30" width="9.875" bestFit="1" customWidth="1"/>
    <col min="37" max="37" width="10.875" bestFit="1" customWidth="1"/>
    <col min="38" max="38" width="13.5" bestFit="1" customWidth="1"/>
    <col min="39" max="40" width="10.875" bestFit="1" customWidth="1"/>
    <col min="41" max="41" width="20.5" bestFit="1" customWidth="1"/>
    <col min="43" max="44" width="17.25" bestFit="1" customWidth="1"/>
    <col min="45" max="45" width="18" style="1" customWidth="1"/>
    <col min="46" max="47" width="10.875" style="1" bestFit="1" customWidth="1"/>
  </cols>
  <sheetData>
    <row r="1" spans="1:47">
      <c r="A1" s="40" t="s">
        <v>86</v>
      </c>
      <c r="B1" s="58" t="s">
        <v>200</v>
      </c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  <c r="AA1" s="59"/>
      <c r="AB1" s="59"/>
      <c r="AC1" s="59"/>
      <c r="AD1" s="59"/>
      <c r="AE1" s="59"/>
      <c r="AF1" s="59"/>
      <c r="AG1" s="59"/>
      <c r="AH1" s="59"/>
      <c r="AI1" s="59"/>
      <c r="AJ1" s="59"/>
      <c r="AK1" s="59"/>
      <c r="AL1" s="59"/>
      <c r="AM1" s="59"/>
      <c r="AN1" s="59"/>
    </row>
    <row r="2" spans="1:47">
      <c r="A2" s="21"/>
      <c r="B2" s="60"/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  <c r="AF2" s="61"/>
      <c r="AG2" s="61"/>
      <c r="AH2" s="61"/>
      <c r="AI2" s="61"/>
      <c r="AJ2" s="61"/>
      <c r="AK2" s="61"/>
      <c r="AL2" s="61"/>
      <c r="AM2" s="61"/>
      <c r="AN2" s="61"/>
    </row>
    <row r="3" spans="1:47">
      <c r="A3" s="21"/>
      <c r="B3" s="41">
        <v>1</v>
      </c>
      <c r="C3" s="43"/>
      <c r="D3" s="43"/>
      <c r="E3" s="43"/>
      <c r="F3" s="43"/>
      <c r="G3" s="43"/>
      <c r="H3" s="43"/>
      <c r="I3" s="43"/>
      <c r="J3" s="52" t="s">
        <v>249</v>
      </c>
      <c r="K3" s="52" t="s">
        <v>250</v>
      </c>
      <c r="L3" s="41">
        <v>2</v>
      </c>
      <c r="M3" s="43"/>
      <c r="N3" s="43"/>
      <c r="O3" s="43"/>
      <c r="P3" s="43"/>
      <c r="Q3" s="43"/>
      <c r="R3" s="43"/>
      <c r="S3" s="43"/>
      <c r="T3" s="52" t="s">
        <v>249</v>
      </c>
      <c r="U3" s="52" t="s">
        <v>250</v>
      </c>
      <c r="V3" s="41">
        <v>3</v>
      </c>
      <c r="W3" s="43"/>
      <c r="X3" s="43"/>
      <c r="Y3" s="43"/>
      <c r="Z3" s="43"/>
      <c r="AA3" s="43"/>
      <c r="AB3" s="42"/>
      <c r="AC3" s="52" t="s">
        <v>249</v>
      </c>
      <c r="AD3" s="52" t="s">
        <v>250</v>
      </c>
      <c r="AE3" s="41">
        <v>4</v>
      </c>
      <c r="AF3" s="43"/>
      <c r="AG3" s="43"/>
      <c r="AH3" s="43"/>
      <c r="AI3" s="43"/>
      <c r="AJ3" s="43"/>
      <c r="AK3" s="43"/>
      <c r="AL3" s="42"/>
      <c r="AM3" s="52" t="s">
        <v>249</v>
      </c>
      <c r="AN3" s="52" t="s">
        <v>250</v>
      </c>
      <c r="AO3" s="54" t="s">
        <v>243</v>
      </c>
      <c r="AQ3" s="50" t="s">
        <v>246</v>
      </c>
      <c r="AR3" s="46" t="s">
        <v>248</v>
      </c>
      <c r="AS3" s="46" t="s">
        <v>247</v>
      </c>
      <c r="AT3" s="30" t="s">
        <v>251</v>
      </c>
      <c r="AU3" s="39" t="s">
        <v>254</v>
      </c>
    </row>
    <row r="4" spans="1:47">
      <c r="A4" s="22"/>
      <c r="B4" s="17" t="s">
        <v>201</v>
      </c>
      <c r="C4" s="17" t="s">
        <v>202</v>
      </c>
      <c r="D4" s="17" t="s">
        <v>203</v>
      </c>
      <c r="E4" s="17" t="s">
        <v>204</v>
      </c>
      <c r="F4" s="17" t="s">
        <v>205</v>
      </c>
      <c r="G4" s="17" t="s">
        <v>206</v>
      </c>
      <c r="H4" s="17" t="s">
        <v>207</v>
      </c>
      <c r="I4" s="19" t="s">
        <v>208</v>
      </c>
      <c r="J4" s="53"/>
      <c r="K4" s="57"/>
      <c r="L4" s="17" t="s">
        <v>201</v>
      </c>
      <c r="M4" s="17" t="s">
        <v>202</v>
      </c>
      <c r="N4" s="17" t="s">
        <v>203</v>
      </c>
      <c r="O4" s="17" t="s">
        <v>204</v>
      </c>
      <c r="P4" s="17" t="s">
        <v>205</v>
      </c>
      <c r="Q4" s="17" t="s">
        <v>206</v>
      </c>
      <c r="R4" s="17" t="s">
        <v>207</v>
      </c>
      <c r="S4" s="17" t="s">
        <v>208</v>
      </c>
      <c r="T4" s="53"/>
      <c r="U4" s="57"/>
      <c r="V4" s="17" t="s">
        <v>201</v>
      </c>
      <c r="W4" s="17" t="s">
        <v>202</v>
      </c>
      <c r="X4" s="17" t="s">
        <v>203</v>
      </c>
      <c r="Y4" s="17" t="s">
        <v>204</v>
      </c>
      <c r="Z4" s="17" t="s">
        <v>205</v>
      </c>
      <c r="AA4" s="17" t="s">
        <v>206</v>
      </c>
      <c r="AB4" s="17" t="s">
        <v>207</v>
      </c>
      <c r="AC4" s="53"/>
      <c r="AD4" s="53"/>
      <c r="AE4" s="17" t="s">
        <v>201</v>
      </c>
      <c r="AF4" s="17" t="s">
        <v>202</v>
      </c>
      <c r="AG4" s="17" t="s">
        <v>203</v>
      </c>
      <c r="AH4" s="17" t="s">
        <v>204</v>
      </c>
      <c r="AI4" s="17" t="s">
        <v>205</v>
      </c>
      <c r="AJ4" s="17" t="s">
        <v>206</v>
      </c>
      <c r="AK4" s="17" t="s">
        <v>207</v>
      </c>
      <c r="AL4" s="17" t="s">
        <v>208</v>
      </c>
      <c r="AM4" s="53"/>
      <c r="AN4" s="53"/>
      <c r="AO4" s="55"/>
      <c r="AQ4" s="51"/>
      <c r="AR4" s="47"/>
      <c r="AS4" s="47"/>
      <c r="AT4" s="31"/>
      <c r="AU4" s="44"/>
    </row>
    <row r="5" spans="1:47">
      <c r="A5" t="s">
        <v>87</v>
      </c>
      <c r="B5" s="1">
        <v>3</v>
      </c>
      <c r="C5" s="1">
        <v>3</v>
      </c>
      <c r="D5" s="1">
        <v>5</v>
      </c>
      <c r="E5" s="1">
        <v>4</v>
      </c>
      <c r="F5" s="1">
        <v>4</v>
      </c>
      <c r="G5" s="1">
        <v>3</v>
      </c>
      <c r="H5" s="1">
        <v>5</v>
      </c>
      <c r="I5" s="1">
        <v>2</v>
      </c>
      <c r="J5" s="1">
        <f>SUM(B5:I5)</f>
        <v>29</v>
      </c>
      <c r="K5" s="1">
        <f>((J5-8)/(8*4))*100</f>
        <v>65.625</v>
      </c>
      <c r="L5" s="1">
        <v>4</v>
      </c>
      <c r="M5" s="1">
        <v>2</v>
      </c>
      <c r="N5" s="1">
        <v>1</v>
      </c>
      <c r="O5" s="1">
        <v>2</v>
      </c>
      <c r="P5" s="1">
        <v>1</v>
      </c>
      <c r="Q5" s="1">
        <v>4</v>
      </c>
      <c r="R5" s="1">
        <v>2</v>
      </c>
      <c r="S5" s="1">
        <v>3</v>
      </c>
      <c r="T5" s="1">
        <f>SUM(L5:S5)</f>
        <v>19</v>
      </c>
      <c r="U5" s="1">
        <f>((T5-8)/(8*4))*100</f>
        <v>34.375</v>
      </c>
      <c r="V5" s="1">
        <v>2</v>
      </c>
      <c r="W5" s="1">
        <v>1</v>
      </c>
      <c r="X5" s="1">
        <v>3</v>
      </c>
      <c r="Y5" s="1">
        <v>1</v>
      </c>
      <c r="Z5" s="1">
        <v>1</v>
      </c>
      <c r="AA5" s="1">
        <v>1</v>
      </c>
      <c r="AB5" s="1">
        <v>1</v>
      </c>
      <c r="AC5" s="1">
        <f>SUM(V5:AB5)</f>
        <v>10</v>
      </c>
      <c r="AD5" s="1">
        <f>((AC5-7)/(7*4))*100</f>
        <v>10.714285714285714</v>
      </c>
      <c r="AE5" s="1">
        <v>1</v>
      </c>
      <c r="AF5" s="1">
        <v>1</v>
      </c>
      <c r="AG5" s="1">
        <v>4</v>
      </c>
      <c r="AH5" s="1">
        <v>3</v>
      </c>
      <c r="AI5" s="1">
        <v>2</v>
      </c>
      <c r="AJ5" s="1">
        <v>2</v>
      </c>
      <c r="AK5" s="1">
        <v>4</v>
      </c>
      <c r="AL5" s="1">
        <v>2</v>
      </c>
      <c r="AM5" s="1">
        <f>SUM(AE5:AL5)</f>
        <v>19</v>
      </c>
      <c r="AN5" s="1">
        <f>((AM5-8)/(8*4))*100</f>
        <v>34.375</v>
      </c>
      <c r="AQ5" s="1">
        <f t="shared" ref="AQ5:AQ36" si="0">SUM(B5:AL5)</f>
        <v>245.71428571428572</v>
      </c>
      <c r="AR5" s="1">
        <f t="shared" ref="AR5:AR36" si="1">SUM(B113:AS113)</f>
        <v>216.625</v>
      </c>
      <c r="AS5" s="1">
        <f>SUM(AQ5:AR5)</f>
        <v>462.33928571428572</v>
      </c>
      <c r="AT5" s="1" t="s">
        <v>252</v>
      </c>
      <c r="AU5" s="20">
        <v>1</v>
      </c>
    </row>
    <row r="6" spans="1:47">
      <c r="A6" t="s">
        <v>88</v>
      </c>
      <c r="B6" s="1">
        <v>2</v>
      </c>
      <c r="C6" s="1">
        <v>2</v>
      </c>
      <c r="D6" s="1">
        <v>1</v>
      </c>
      <c r="E6" s="1">
        <v>4</v>
      </c>
      <c r="F6" s="1">
        <v>4</v>
      </c>
      <c r="G6" s="1">
        <v>3</v>
      </c>
      <c r="H6" s="1"/>
      <c r="I6" s="1">
        <v>2</v>
      </c>
      <c r="J6" s="1">
        <f t="shared" ref="J6:J69" si="2">SUM(B6:I6)</f>
        <v>18</v>
      </c>
      <c r="K6" s="1">
        <f t="shared" ref="K6:K69" si="3">((J6-8)/(8*4))*100</f>
        <v>31.25</v>
      </c>
      <c r="L6" s="1">
        <v>5</v>
      </c>
      <c r="M6" s="1">
        <v>4</v>
      </c>
      <c r="N6" s="1">
        <v>5</v>
      </c>
      <c r="O6" s="1">
        <v>4</v>
      </c>
      <c r="P6" s="1">
        <v>3</v>
      </c>
      <c r="Q6" s="1">
        <v>3</v>
      </c>
      <c r="R6" s="1">
        <v>4</v>
      </c>
      <c r="S6" s="1">
        <v>5</v>
      </c>
      <c r="T6" s="1">
        <f t="shared" ref="T6:T69" si="4">SUM(L6:S6)</f>
        <v>33</v>
      </c>
      <c r="U6" s="1">
        <f t="shared" ref="U6:U69" si="5">((T6-8)/(8*4))*100</f>
        <v>78.125</v>
      </c>
      <c r="V6" s="1">
        <v>3</v>
      </c>
      <c r="W6" s="1">
        <v>2</v>
      </c>
      <c r="X6" s="1">
        <v>2</v>
      </c>
      <c r="Y6" s="1">
        <v>2</v>
      </c>
      <c r="Z6" s="1">
        <v>3</v>
      </c>
      <c r="AA6" s="1">
        <v>3</v>
      </c>
      <c r="AB6" s="1">
        <v>3</v>
      </c>
      <c r="AC6" s="1">
        <f>SUM(V6:AB6)</f>
        <v>18</v>
      </c>
      <c r="AD6" s="1">
        <f t="shared" ref="AD6:AD69" si="6">((AC6-7)/(7*4))*100</f>
        <v>39.285714285714285</v>
      </c>
      <c r="AE6" s="1">
        <v>5</v>
      </c>
      <c r="AF6" s="1">
        <v>5</v>
      </c>
      <c r="AG6" s="1">
        <v>5</v>
      </c>
      <c r="AH6" s="1">
        <v>5</v>
      </c>
      <c r="AI6" s="1">
        <v>5</v>
      </c>
      <c r="AJ6" s="1">
        <v>5</v>
      </c>
      <c r="AK6" s="1">
        <v>5</v>
      </c>
      <c r="AL6" s="1">
        <v>5</v>
      </c>
      <c r="AM6" s="1">
        <f t="shared" ref="AM6:AM69" si="7">SUM(AE6:AL6)</f>
        <v>40</v>
      </c>
      <c r="AN6" s="1">
        <f t="shared" ref="AN6:AN69" si="8">((AM6-8)/(8*4))*100</f>
        <v>100</v>
      </c>
      <c r="AQ6" s="1">
        <f t="shared" si="0"/>
        <v>326.66071428571428</v>
      </c>
      <c r="AR6" s="1">
        <f t="shared" si="1"/>
        <v>600.01785714285722</v>
      </c>
      <c r="AS6" s="1">
        <f t="shared" ref="AS6:AS69" si="9">SUM(AQ6:AR6)</f>
        <v>926.67857142857156</v>
      </c>
      <c r="AT6" s="1" t="s">
        <v>252</v>
      </c>
      <c r="AU6" s="20">
        <v>1</v>
      </c>
    </row>
    <row r="7" spans="1:47">
      <c r="A7" t="s">
        <v>89</v>
      </c>
      <c r="B7" s="1">
        <v>5</v>
      </c>
      <c r="C7" s="1">
        <v>5</v>
      </c>
      <c r="D7" s="1">
        <v>5</v>
      </c>
      <c r="E7" s="1">
        <v>4</v>
      </c>
      <c r="F7" s="1">
        <v>4</v>
      </c>
      <c r="G7" s="1">
        <v>5</v>
      </c>
      <c r="H7" s="1">
        <v>5</v>
      </c>
      <c r="I7" s="1">
        <v>3</v>
      </c>
      <c r="J7" s="1">
        <f t="shared" si="2"/>
        <v>36</v>
      </c>
      <c r="K7" s="1">
        <f t="shared" si="3"/>
        <v>87.5</v>
      </c>
      <c r="L7" s="1">
        <v>1</v>
      </c>
      <c r="M7" s="1">
        <v>1</v>
      </c>
      <c r="N7" s="1">
        <v>1</v>
      </c>
      <c r="O7" s="1">
        <v>1</v>
      </c>
      <c r="P7" s="1">
        <v>1</v>
      </c>
      <c r="Q7" s="1">
        <v>4</v>
      </c>
      <c r="R7" s="1">
        <v>1</v>
      </c>
      <c r="S7" s="1">
        <v>1</v>
      </c>
      <c r="T7" s="1">
        <f t="shared" si="4"/>
        <v>11</v>
      </c>
      <c r="U7" s="1">
        <f t="shared" si="5"/>
        <v>9.375</v>
      </c>
      <c r="V7" s="1">
        <v>3</v>
      </c>
      <c r="W7" s="1">
        <v>1</v>
      </c>
      <c r="X7" s="1">
        <v>1</v>
      </c>
      <c r="Y7" s="1">
        <v>3</v>
      </c>
      <c r="Z7" s="1">
        <v>1</v>
      </c>
      <c r="AA7" s="1">
        <v>3</v>
      </c>
      <c r="AB7" s="1">
        <v>4</v>
      </c>
      <c r="AC7" s="1">
        <f t="shared" ref="AC7:AC69" si="10">SUM(V7:AB7)</f>
        <v>16</v>
      </c>
      <c r="AD7" s="1">
        <f t="shared" si="6"/>
        <v>32.142857142857146</v>
      </c>
      <c r="AE7" s="1">
        <v>1</v>
      </c>
      <c r="AF7" s="1">
        <v>1</v>
      </c>
      <c r="AG7" s="1">
        <v>3</v>
      </c>
      <c r="AH7" s="1">
        <v>2</v>
      </c>
      <c r="AI7" s="1">
        <v>1</v>
      </c>
      <c r="AJ7" s="1">
        <v>1</v>
      </c>
      <c r="AK7" s="1">
        <v>3</v>
      </c>
      <c r="AL7" s="1">
        <v>1</v>
      </c>
      <c r="AM7" s="1">
        <f t="shared" si="7"/>
        <v>13</v>
      </c>
      <c r="AN7" s="1">
        <f t="shared" si="8"/>
        <v>15.625</v>
      </c>
      <c r="AQ7" s="1">
        <f t="shared" si="0"/>
        <v>268.01785714285711</v>
      </c>
      <c r="AR7" s="1">
        <f t="shared" si="1"/>
        <v>127.37499999999999</v>
      </c>
      <c r="AS7" s="1">
        <f t="shared" si="9"/>
        <v>395.39285714285711</v>
      </c>
      <c r="AT7" s="1" t="s">
        <v>253</v>
      </c>
      <c r="AU7" s="20">
        <v>0</v>
      </c>
    </row>
    <row r="8" spans="1:47">
      <c r="A8" t="s">
        <v>90</v>
      </c>
      <c r="B8" s="9">
        <v>3</v>
      </c>
      <c r="C8" s="9">
        <v>3</v>
      </c>
      <c r="D8" s="9">
        <v>4</v>
      </c>
      <c r="E8" s="9">
        <v>4</v>
      </c>
      <c r="F8" s="9">
        <v>1</v>
      </c>
      <c r="G8" s="9">
        <v>4</v>
      </c>
      <c r="H8" s="9">
        <v>4</v>
      </c>
      <c r="I8" s="9">
        <v>4</v>
      </c>
      <c r="J8" s="1">
        <f t="shared" si="2"/>
        <v>27</v>
      </c>
      <c r="K8" s="1">
        <f t="shared" si="3"/>
        <v>59.375</v>
      </c>
      <c r="L8" s="9">
        <v>3</v>
      </c>
      <c r="M8" s="9">
        <v>3</v>
      </c>
      <c r="N8" s="9">
        <v>2</v>
      </c>
      <c r="O8" s="9">
        <v>4</v>
      </c>
      <c r="P8" s="9">
        <v>3</v>
      </c>
      <c r="Q8" s="9">
        <v>5</v>
      </c>
      <c r="R8" s="9">
        <v>2</v>
      </c>
      <c r="S8" s="9">
        <v>1</v>
      </c>
      <c r="T8" s="1">
        <f t="shared" si="4"/>
        <v>23</v>
      </c>
      <c r="U8" s="1">
        <f t="shared" si="5"/>
        <v>46.875</v>
      </c>
      <c r="V8" s="9">
        <v>5</v>
      </c>
      <c r="W8" s="9">
        <v>3</v>
      </c>
      <c r="X8" s="9">
        <v>2</v>
      </c>
      <c r="Y8" s="9">
        <v>2</v>
      </c>
      <c r="Z8" s="9">
        <v>3</v>
      </c>
      <c r="AA8" s="9">
        <v>1</v>
      </c>
      <c r="AB8" s="9">
        <v>1</v>
      </c>
      <c r="AC8" s="1">
        <f t="shared" si="10"/>
        <v>17</v>
      </c>
      <c r="AD8" s="1">
        <f t="shared" si="6"/>
        <v>35.714285714285715</v>
      </c>
      <c r="AE8" s="9">
        <v>1</v>
      </c>
      <c r="AF8" s="9">
        <v>2</v>
      </c>
      <c r="AG8" s="9">
        <v>4</v>
      </c>
      <c r="AH8" s="9">
        <v>2</v>
      </c>
      <c r="AI8" s="9">
        <v>1</v>
      </c>
      <c r="AJ8" s="9">
        <v>2</v>
      </c>
      <c r="AK8" s="9">
        <v>4</v>
      </c>
      <c r="AL8" s="9">
        <v>1</v>
      </c>
      <c r="AM8" s="1">
        <f t="shared" si="7"/>
        <v>17</v>
      </c>
      <c r="AN8" s="1">
        <f t="shared" si="8"/>
        <v>28.125</v>
      </c>
      <c r="AQ8" s="1">
        <f t="shared" si="0"/>
        <v>292.96428571428572</v>
      </c>
      <c r="AR8" s="1">
        <f t="shared" si="1"/>
        <v>293.05357142857139</v>
      </c>
      <c r="AS8" s="1">
        <f t="shared" si="9"/>
        <v>586.01785714285711</v>
      </c>
      <c r="AT8" s="1" t="s">
        <v>252</v>
      </c>
      <c r="AU8" s="20">
        <v>1</v>
      </c>
    </row>
    <row r="9" spans="1:47">
      <c r="A9" t="s">
        <v>8</v>
      </c>
      <c r="B9" s="9">
        <v>3</v>
      </c>
      <c r="C9" s="9">
        <v>3</v>
      </c>
      <c r="D9" s="9">
        <v>5</v>
      </c>
      <c r="E9" s="9">
        <v>4</v>
      </c>
      <c r="F9" s="9">
        <v>3</v>
      </c>
      <c r="G9" s="9">
        <v>3</v>
      </c>
      <c r="H9" s="9">
        <v>5</v>
      </c>
      <c r="I9" s="9">
        <v>5</v>
      </c>
      <c r="J9" s="1">
        <f t="shared" si="2"/>
        <v>31</v>
      </c>
      <c r="K9" s="1">
        <f t="shared" si="3"/>
        <v>71.875</v>
      </c>
      <c r="L9" s="9">
        <v>3</v>
      </c>
      <c r="M9" s="9">
        <v>1</v>
      </c>
      <c r="N9" s="9">
        <v>1</v>
      </c>
      <c r="O9" s="9">
        <v>2</v>
      </c>
      <c r="P9" s="9">
        <v>2</v>
      </c>
      <c r="Q9" s="9">
        <v>2</v>
      </c>
      <c r="R9" s="9">
        <v>1</v>
      </c>
      <c r="S9" s="9">
        <v>1</v>
      </c>
      <c r="T9" s="1">
        <f t="shared" si="4"/>
        <v>13</v>
      </c>
      <c r="U9" s="1">
        <f t="shared" si="5"/>
        <v>15.625</v>
      </c>
      <c r="V9" s="9">
        <v>1</v>
      </c>
      <c r="W9" s="9">
        <v>1</v>
      </c>
      <c r="X9" s="9">
        <v>2</v>
      </c>
      <c r="Y9" s="9">
        <v>1</v>
      </c>
      <c r="Z9" s="9">
        <v>2</v>
      </c>
      <c r="AA9" s="9">
        <v>1</v>
      </c>
      <c r="AB9" s="9">
        <v>1</v>
      </c>
      <c r="AC9" s="1">
        <f t="shared" si="10"/>
        <v>9</v>
      </c>
      <c r="AD9" s="1">
        <f t="shared" si="6"/>
        <v>7.1428571428571423</v>
      </c>
      <c r="AE9" s="9">
        <v>2</v>
      </c>
      <c r="AF9" s="9">
        <v>2</v>
      </c>
      <c r="AG9" s="9">
        <v>2</v>
      </c>
      <c r="AH9" s="9">
        <v>1</v>
      </c>
      <c r="AI9" s="9">
        <v>1</v>
      </c>
      <c r="AJ9" s="9">
        <v>1</v>
      </c>
      <c r="AK9" s="9">
        <v>1</v>
      </c>
      <c r="AL9" s="9">
        <v>1</v>
      </c>
      <c r="AM9" s="1">
        <f t="shared" si="7"/>
        <v>11</v>
      </c>
      <c r="AN9" s="1">
        <f t="shared" si="8"/>
        <v>9.375</v>
      </c>
      <c r="AQ9" s="1">
        <f t="shared" si="0"/>
        <v>211.64285714285714</v>
      </c>
      <c r="AR9" s="1">
        <f t="shared" si="1"/>
        <v>170.83928571428575</v>
      </c>
      <c r="AS9" s="1">
        <f t="shared" si="9"/>
        <v>382.48214285714289</v>
      </c>
      <c r="AT9" s="1" t="s">
        <v>253</v>
      </c>
      <c r="AU9" s="20">
        <v>0</v>
      </c>
    </row>
    <row r="10" spans="1:47">
      <c r="A10" t="s">
        <v>9</v>
      </c>
      <c r="B10" s="9">
        <v>3</v>
      </c>
      <c r="C10" s="9">
        <v>2</v>
      </c>
      <c r="D10" s="9">
        <v>2</v>
      </c>
      <c r="E10" s="9">
        <v>4</v>
      </c>
      <c r="F10" s="9">
        <v>3</v>
      </c>
      <c r="G10" s="9">
        <v>4</v>
      </c>
      <c r="H10" s="9">
        <v>4</v>
      </c>
      <c r="I10" s="9">
        <v>3</v>
      </c>
      <c r="J10" s="1">
        <f t="shared" si="2"/>
        <v>25</v>
      </c>
      <c r="K10" s="1">
        <f t="shared" si="3"/>
        <v>53.125</v>
      </c>
      <c r="L10" s="9">
        <v>4</v>
      </c>
      <c r="M10" s="9">
        <v>2</v>
      </c>
      <c r="N10" s="9">
        <v>3</v>
      </c>
      <c r="O10" s="9">
        <v>3</v>
      </c>
      <c r="P10" s="9">
        <v>3</v>
      </c>
      <c r="Q10" s="9">
        <v>3</v>
      </c>
      <c r="R10" s="9">
        <v>3</v>
      </c>
      <c r="S10" s="9">
        <v>3</v>
      </c>
      <c r="T10" s="1">
        <f t="shared" si="4"/>
        <v>24</v>
      </c>
      <c r="U10" s="1">
        <f t="shared" si="5"/>
        <v>50</v>
      </c>
      <c r="V10" s="9">
        <v>2</v>
      </c>
      <c r="W10" s="9">
        <v>3</v>
      </c>
      <c r="X10" s="9">
        <v>2</v>
      </c>
      <c r="Y10" s="9">
        <v>3</v>
      </c>
      <c r="Z10" s="9">
        <v>3</v>
      </c>
      <c r="AA10" s="9">
        <v>4</v>
      </c>
      <c r="AB10" s="9">
        <v>3</v>
      </c>
      <c r="AC10" s="1">
        <f t="shared" si="10"/>
        <v>20</v>
      </c>
      <c r="AD10" s="1">
        <f t="shared" si="6"/>
        <v>46.428571428571431</v>
      </c>
      <c r="AE10" s="9">
        <v>3</v>
      </c>
      <c r="AF10" s="9">
        <v>3</v>
      </c>
      <c r="AG10" s="9">
        <v>4</v>
      </c>
      <c r="AH10" s="9">
        <v>2</v>
      </c>
      <c r="AI10" s="9">
        <v>2</v>
      </c>
      <c r="AJ10" s="9">
        <v>2</v>
      </c>
      <c r="AK10" s="9">
        <v>2</v>
      </c>
      <c r="AL10" s="9">
        <v>3</v>
      </c>
      <c r="AM10" s="1">
        <f t="shared" si="7"/>
        <v>21</v>
      </c>
      <c r="AN10" s="1">
        <f t="shared" si="8"/>
        <v>40.625</v>
      </c>
      <c r="AQ10" s="1">
        <f t="shared" si="0"/>
        <v>308.55357142857144</v>
      </c>
      <c r="AR10" s="1">
        <f t="shared" si="1"/>
        <v>386.19642857142856</v>
      </c>
      <c r="AS10" s="1">
        <f t="shared" si="9"/>
        <v>694.75</v>
      </c>
      <c r="AT10" s="12" t="s">
        <v>252</v>
      </c>
      <c r="AU10" s="20">
        <v>1</v>
      </c>
    </row>
    <row r="11" spans="1:47">
      <c r="A11" t="s">
        <v>10</v>
      </c>
      <c r="B11" s="9">
        <v>3</v>
      </c>
      <c r="C11" s="9">
        <v>2</v>
      </c>
      <c r="D11" s="9">
        <v>5</v>
      </c>
      <c r="E11" s="9">
        <v>4</v>
      </c>
      <c r="F11" s="9">
        <v>3</v>
      </c>
      <c r="G11" s="9">
        <v>4</v>
      </c>
      <c r="H11" s="9">
        <v>4</v>
      </c>
      <c r="I11" s="9">
        <v>4</v>
      </c>
      <c r="J11" s="1">
        <f t="shared" si="2"/>
        <v>29</v>
      </c>
      <c r="K11" s="1">
        <f t="shared" si="3"/>
        <v>65.625</v>
      </c>
      <c r="L11" s="9">
        <v>4</v>
      </c>
      <c r="M11" s="9">
        <v>3</v>
      </c>
      <c r="N11" s="9">
        <v>2</v>
      </c>
      <c r="O11" s="9">
        <v>2</v>
      </c>
      <c r="P11" s="9">
        <v>2</v>
      </c>
      <c r="Q11" s="9">
        <v>3</v>
      </c>
      <c r="R11" s="9">
        <v>2</v>
      </c>
      <c r="S11" s="9">
        <v>4</v>
      </c>
      <c r="T11" s="1">
        <f t="shared" si="4"/>
        <v>22</v>
      </c>
      <c r="U11" s="1">
        <f t="shared" si="5"/>
        <v>43.75</v>
      </c>
      <c r="V11" s="9">
        <v>2</v>
      </c>
      <c r="W11" s="9">
        <v>2</v>
      </c>
      <c r="X11" s="9">
        <v>2</v>
      </c>
      <c r="Y11" s="9">
        <v>1</v>
      </c>
      <c r="Z11" s="9">
        <v>2</v>
      </c>
      <c r="AA11" s="9">
        <v>1</v>
      </c>
      <c r="AB11" s="9">
        <v>1</v>
      </c>
      <c r="AC11" s="1">
        <f t="shared" si="10"/>
        <v>11</v>
      </c>
      <c r="AD11" s="1">
        <f t="shared" si="6"/>
        <v>14.285714285714285</v>
      </c>
      <c r="AE11" s="9">
        <v>2</v>
      </c>
      <c r="AF11" s="9">
        <v>3</v>
      </c>
      <c r="AG11" s="9">
        <v>3</v>
      </c>
      <c r="AH11" s="9">
        <v>2</v>
      </c>
      <c r="AI11" s="9">
        <v>2</v>
      </c>
      <c r="AJ11" s="9">
        <v>1</v>
      </c>
      <c r="AK11" s="9">
        <v>2</v>
      </c>
      <c r="AL11" s="9">
        <v>3</v>
      </c>
      <c r="AM11" s="1">
        <f t="shared" si="7"/>
        <v>18</v>
      </c>
      <c r="AN11" s="1">
        <f t="shared" si="8"/>
        <v>31.25</v>
      </c>
      <c r="AQ11" s="1">
        <f t="shared" si="0"/>
        <v>265.66071428571428</v>
      </c>
      <c r="AR11" s="1">
        <f t="shared" si="1"/>
        <v>224.98214285714283</v>
      </c>
      <c r="AS11" s="1">
        <f t="shared" si="9"/>
        <v>490.64285714285711</v>
      </c>
      <c r="AT11" s="12" t="s">
        <v>252</v>
      </c>
      <c r="AU11" s="20">
        <v>1</v>
      </c>
    </row>
    <row r="12" spans="1:47">
      <c r="A12" t="s">
        <v>11</v>
      </c>
      <c r="B12" s="9">
        <v>3</v>
      </c>
      <c r="C12" s="9">
        <v>1</v>
      </c>
      <c r="D12" s="9">
        <v>4</v>
      </c>
      <c r="E12" s="9">
        <v>2</v>
      </c>
      <c r="F12" s="9">
        <v>5</v>
      </c>
      <c r="G12" s="9">
        <v>4</v>
      </c>
      <c r="H12" s="9">
        <v>5</v>
      </c>
      <c r="I12" s="9">
        <v>2</v>
      </c>
      <c r="J12" s="1">
        <f t="shared" si="2"/>
        <v>26</v>
      </c>
      <c r="K12" s="1">
        <f t="shared" si="3"/>
        <v>56.25</v>
      </c>
      <c r="L12" s="9">
        <v>5</v>
      </c>
      <c r="M12" s="9">
        <v>3</v>
      </c>
      <c r="N12" s="9">
        <v>2</v>
      </c>
      <c r="O12" s="9">
        <v>4</v>
      </c>
      <c r="P12" s="9">
        <v>2</v>
      </c>
      <c r="Q12" s="9">
        <v>3</v>
      </c>
      <c r="R12" s="9">
        <v>2</v>
      </c>
      <c r="S12" s="9">
        <v>3</v>
      </c>
      <c r="T12" s="1">
        <f t="shared" si="4"/>
        <v>24</v>
      </c>
      <c r="U12" s="1">
        <f t="shared" si="5"/>
        <v>50</v>
      </c>
      <c r="V12" s="9">
        <v>4</v>
      </c>
      <c r="W12" s="9">
        <v>2</v>
      </c>
      <c r="X12" s="9">
        <v>1</v>
      </c>
      <c r="Y12" s="9">
        <v>1</v>
      </c>
      <c r="Z12" s="9">
        <v>2</v>
      </c>
      <c r="AA12" s="9">
        <v>1</v>
      </c>
      <c r="AB12" s="9">
        <v>1</v>
      </c>
      <c r="AC12" s="1">
        <f t="shared" si="10"/>
        <v>12</v>
      </c>
      <c r="AD12" s="1">
        <f t="shared" si="6"/>
        <v>17.857142857142858</v>
      </c>
      <c r="AE12" s="9">
        <v>3</v>
      </c>
      <c r="AF12" s="9">
        <v>4</v>
      </c>
      <c r="AG12" s="9">
        <v>5</v>
      </c>
      <c r="AH12" s="9">
        <v>1</v>
      </c>
      <c r="AI12" s="9">
        <v>1</v>
      </c>
      <c r="AJ12" s="9">
        <v>2</v>
      </c>
      <c r="AK12" s="9">
        <v>4</v>
      </c>
      <c r="AL12" s="9">
        <v>3</v>
      </c>
      <c r="AM12" s="1">
        <f t="shared" si="7"/>
        <v>23</v>
      </c>
      <c r="AN12" s="1">
        <f t="shared" si="8"/>
        <v>46.875</v>
      </c>
      <c r="AQ12" s="1">
        <f t="shared" si="0"/>
        <v>271.10714285714289</v>
      </c>
      <c r="AR12" s="1">
        <f t="shared" si="1"/>
        <v>451.82142857142856</v>
      </c>
      <c r="AS12" s="1">
        <f t="shared" si="9"/>
        <v>722.92857142857144</v>
      </c>
      <c r="AT12" s="1" t="s">
        <v>252</v>
      </c>
      <c r="AU12" s="20">
        <v>1</v>
      </c>
    </row>
    <row r="13" spans="1:47">
      <c r="A13" t="s">
        <v>12</v>
      </c>
      <c r="B13" s="9">
        <v>3</v>
      </c>
      <c r="C13" s="9">
        <v>3</v>
      </c>
      <c r="D13" s="9">
        <v>4</v>
      </c>
      <c r="E13" s="9">
        <v>4</v>
      </c>
      <c r="F13" s="9">
        <v>5</v>
      </c>
      <c r="G13" s="9">
        <v>4</v>
      </c>
      <c r="H13" s="9">
        <v>5</v>
      </c>
      <c r="I13" s="9">
        <v>3</v>
      </c>
      <c r="J13" s="1">
        <f t="shared" si="2"/>
        <v>31</v>
      </c>
      <c r="K13" s="1">
        <f t="shared" si="3"/>
        <v>71.875</v>
      </c>
      <c r="L13" s="9">
        <v>3</v>
      </c>
      <c r="M13" s="9">
        <v>1</v>
      </c>
      <c r="N13" s="9">
        <v>2</v>
      </c>
      <c r="O13" s="9">
        <v>2</v>
      </c>
      <c r="P13" s="9">
        <v>2</v>
      </c>
      <c r="Q13" s="9">
        <v>4</v>
      </c>
      <c r="R13" s="9">
        <v>2</v>
      </c>
      <c r="S13" s="9">
        <v>3</v>
      </c>
      <c r="T13" s="1">
        <f t="shared" si="4"/>
        <v>19</v>
      </c>
      <c r="U13" s="1">
        <f t="shared" si="5"/>
        <v>34.375</v>
      </c>
      <c r="V13" s="9">
        <v>1</v>
      </c>
      <c r="W13" s="9">
        <v>1</v>
      </c>
      <c r="X13" s="9">
        <v>1</v>
      </c>
      <c r="Y13" s="9">
        <v>1</v>
      </c>
      <c r="Z13" s="9">
        <v>2</v>
      </c>
      <c r="AA13" s="9">
        <v>1</v>
      </c>
      <c r="AB13" s="9">
        <v>1</v>
      </c>
      <c r="AC13" s="1">
        <f t="shared" si="10"/>
        <v>8</v>
      </c>
      <c r="AD13" s="1">
        <f t="shared" si="6"/>
        <v>3.5714285714285712</v>
      </c>
      <c r="AE13" s="9">
        <v>3</v>
      </c>
      <c r="AF13" s="9">
        <v>3</v>
      </c>
      <c r="AG13" s="9">
        <v>3</v>
      </c>
      <c r="AH13" s="9">
        <v>1</v>
      </c>
      <c r="AI13" s="9">
        <v>2</v>
      </c>
      <c r="AJ13" s="9">
        <v>2</v>
      </c>
      <c r="AK13" s="9">
        <v>3</v>
      </c>
      <c r="AL13" s="9">
        <v>3</v>
      </c>
      <c r="AM13" s="1">
        <f t="shared" si="7"/>
        <v>20</v>
      </c>
      <c r="AN13" s="1">
        <f t="shared" si="8"/>
        <v>37.5</v>
      </c>
      <c r="AQ13" s="1">
        <f t="shared" si="0"/>
        <v>245.82142857142858</v>
      </c>
      <c r="AR13" s="1">
        <f t="shared" si="1"/>
        <v>288.26785714285711</v>
      </c>
      <c r="AS13" s="1">
        <f t="shared" si="9"/>
        <v>534.08928571428567</v>
      </c>
      <c r="AT13" s="1" t="s">
        <v>252</v>
      </c>
      <c r="AU13" s="20">
        <v>1</v>
      </c>
    </row>
    <row r="14" spans="1:47">
      <c r="A14" t="s">
        <v>13</v>
      </c>
      <c r="B14" s="9">
        <v>3</v>
      </c>
      <c r="C14" s="9">
        <v>3</v>
      </c>
      <c r="D14" s="9">
        <v>5</v>
      </c>
      <c r="E14" s="9">
        <v>4</v>
      </c>
      <c r="F14" s="9">
        <v>5</v>
      </c>
      <c r="G14" s="9">
        <v>4</v>
      </c>
      <c r="H14" s="9">
        <v>3</v>
      </c>
      <c r="I14" s="9">
        <v>1</v>
      </c>
      <c r="J14" s="1">
        <f t="shared" si="2"/>
        <v>28</v>
      </c>
      <c r="K14" s="1">
        <f t="shared" si="3"/>
        <v>62.5</v>
      </c>
      <c r="L14" s="9">
        <v>2</v>
      </c>
      <c r="M14" s="9">
        <v>3</v>
      </c>
      <c r="N14" s="9">
        <v>4</v>
      </c>
      <c r="O14" s="9">
        <v>2</v>
      </c>
      <c r="P14" s="9">
        <v>2</v>
      </c>
      <c r="Q14" s="9">
        <v>3</v>
      </c>
      <c r="R14" s="9">
        <v>1</v>
      </c>
      <c r="S14" s="9">
        <v>5</v>
      </c>
      <c r="T14" s="1">
        <f t="shared" si="4"/>
        <v>22</v>
      </c>
      <c r="U14" s="1">
        <f t="shared" si="5"/>
        <v>43.75</v>
      </c>
      <c r="V14" s="9">
        <v>1</v>
      </c>
      <c r="W14" s="9">
        <v>1</v>
      </c>
      <c r="X14" s="9">
        <v>1</v>
      </c>
      <c r="Y14" s="9">
        <v>1</v>
      </c>
      <c r="Z14" s="9">
        <v>2</v>
      </c>
      <c r="AA14" s="9">
        <v>2</v>
      </c>
      <c r="AB14" s="9">
        <v>2</v>
      </c>
      <c r="AC14" s="1">
        <f t="shared" si="10"/>
        <v>10</v>
      </c>
      <c r="AD14" s="1">
        <f t="shared" si="6"/>
        <v>10.714285714285714</v>
      </c>
      <c r="AE14" s="9">
        <v>4</v>
      </c>
      <c r="AF14" s="9">
        <v>4</v>
      </c>
      <c r="AG14" s="9">
        <v>3</v>
      </c>
      <c r="AH14" s="9">
        <v>2</v>
      </c>
      <c r="AI14" s="9">
        <v>3</v>
      </c>
      <c r="AJ14" s="9">
        <v>2</v>
      </c>
      <c r="AK14" s="9">
        <v>2</v>
      </c>
      <c r="AL14" s="9">
        <v>5</v>
      </c>
      <c r="AM14" s="1">
        <f t="shared" si="7"/>
        <v>25</v>
      </c>
      <c r="AN14" s="1">
        <f t="shared" si="8"/>
        <v>53.125</v>
      </c>
      <c r="AQ14" s="1">
        <f t="shared" si="0"/>
        <v>261.96428571428572</v>
      </c>
      <c r="AR14" s="1">
        <f t="shared" si="1"/>
        <v>286.46428571428567</v>
      </c>
      <c r="AS14" s="1">
        <f t="shared" si="9"/>
        <v>548.42857142857133</v>
      </c>
      <c r="AT14" s="1" t="s">
        <v>252</v>
      </c>
      <c r="AU14" s="20">
        <v>1</v>
      </c>
    </row>
    <row r="15" spans="1:47">
      <c r="A15" t="s">
        <v>14</v>
      </c>
      <c r="B15" s="9">
        <v>2</v>
      </c>
      <c r="C15" s="9">
        <v>2</v>
      </c>
      <c r="D15" s="9">
        <v>3</v>
      </c>
      <c r="E15" s="9">
        <v>3</v>
      </c>
      <c r="F15" s="9">
        <v>3</v>
      </c>
      <c r="G15" s="9">
        <v>4</v>
      </c>
      <c r="H15" s="9">
        <v>3</v>
      </c>
      <c r="I15" s="9">
        <v>2</v>
      </c>
      <c r="J15" s="1">
        <f t="shared" si="2"/>
        <v>22</v>
      </c>
      <c r="K15" s="1">
        <f t="shared" si="3"/>
        <v>43.75</v>
      </c>
      <c r="L15" s="9">
        <v>3</v>
      </c>
      <c r="M15" s="9">
        <v>3</v>
      </c>
      <c r="N15" s="9">
        <v>3</v>
      </c>
      <c r="O15" s="9">
        <v>4</v>
      </c>
      <c r="P15" s="9">
        <v>3</v>
      </c>
      <c r="Q15" s="9">
        <v>3</v>
      </c>
      <c r="R15" s="9">
        <v>3</v>
      </c>
      <c r="S15" s="9">
        <v>3</v>
      </c>
      <c r="T15" s="1">
        <f t="shared" si="4"/>
        <v>25</v>
      </c>
      <c r="U15" s="1">
        <f t="shared" si="5"/>
        <v>53.125</v>
      </c>
      <c r="V15" s="9">
        <v>4</v>
      </c>
      <c r="W15" s="9">
        <v>4</v>
      </c>
      <c r="X15" s="9">
        <v>4</v>
      </c>
      <c r="Y15" s="9">
        <v>4</v>
      </c>
      <c r="Z15" s="9">
        <v>3</v>
      </c>
      <c r="AA15" s="9">
        <v>5</v>
      </c>
      <c r="AB15" s="9">
        <v>5</v>
      </c>
      <c r="AC15" s="1">
        <f t="shared" si="10"/>
        <v>29</v>
      </c>
      <c r="AD15" s="1">
        <f t="shared" si="6"/>
        <v>78.571428571428569</v>
      </c>
      <c r="AE15" s="9">
        <v>1</v>
      </c>
      <c r="AF15" s="9">
        <v>2</v>
      </c>
      <c r="AG15" s="9">
        <v>4</v>
      </c>
      <c r="AH15" s="9">
        <v>2</v>
      </c>
      <c r="AI15" s="9">
        <v>3</v>
      </c>
      <c r="AJ15" s="9">
        <v>3</v>
      </c>
      <c r="AK15" s="9">
        <v>5</v>
      </c>
      <c r="AL15" s="9">
        <v>3</v>
      </c>
      <c r="AM15" s="1">
        <f t="shared" si="7"/>
        <v>23</v>
      </c>
      <c r="AN15" s="1">
        <f t="shared" si="8"/>
        <v>46.875</v>
      </c>
      <c r="AO15" s="9"/>
      <c r="AQ15" s="1">
        <f t="shared" si="0"/>
        <v>350.44642857142856</v>
      </c>
      <c r="AR15" s="1">
        <f t="shared" si="1"/>
        <v>257.07142857142856</v>
      </c>
      <c r="AS15" s="1">
        <f t="shared" si="9"/>
        <v>607.51785714285711</v>
      </c>
      <c r="AT15" s="1" t="s">
        <v>252</v>
      </c>
      <c r="AU15" s="20">
        <v>1</v>
      </c>
    </row>
    <row r="16" spans="1:47">
      <c r="A16" t="s">
        <v>15</v>
      </c>
      <c r="B16" s="9">
        <v>4</v>
      </c>
      <c r="C16" s="9">
        <v>4</v>
      </c>
      <c r="D16" s="9">
        <v>5</v>
      </c>
      <c r="E16" s="9">
        <v>4</v>
      </c>
      <c r="F16" s="9">
        <v>2</v>
      </c>
      <c r="G16" s="9">
        <v>4</v>
      </c>
      <c r="H16" s="9">
        <v>5</v>
      </c>
      <c r="I16" s="9">
        <v>3</v>
      </c>
      <c r="J16" s="1">
        <f t="shared" si="2"/>
        <v>31</v>
      </c>
      <c r="K16" s="1">
        <f t="shared" si="3"/>
        <v>71.875</v>
      </c>
      <c r="L16" s="9">
        <v>2</v>
      </c>
      <c r="M16" s="9">
        <v>2</v>
      </c>
      <c r="N16" s="9">
        <v>1</v>
      </c>
      <c r="O16" s="9">
        <v>3</v>
      </c>
      <c r="P16" s="9">
        <v>2</v>
      </c>
      <c r="Q16" s="9">
        <v>3</v>
      </c>
      <c r="R16" s="9">
        <v>1</v>
      </c>
      <c r="S16" s="9">
        <v>2</v>
      </c>
      <c r="T16" s="1">
        <f t="shared" si="4"/>
        <v>16</v>
      </c>
      <c r="U16" s="1">
        <f t="shared" si="5"/>
        <v>25</v>
      </c>
      <c r="V16" s="9">
        <v>1</v>
      </c>
      <c r="W16" s="9">
        <v>1</v>
      </c>
      <c r="X16" s="9">
        <v>3</v>
      </c>
      <c r="Y16" s="9">
        <v>2</v>
      </c>
      <c r="Z16" s="9">
        <v>2</v>
      </c>
      <c r="AA16" s="9">
        <v>1</v>
      </c>
      <c r="AB16" s="9">
        <v>1</v>
      </c>
      <c r="AC16" s="1">
        <f t="shared" si="10"/>
        <v>11</v>
      </c>
      <c r="AD16" s="1">
        <f t="shared" si="6"/>
        <v>14.285714285714285</v>
      </c>
      <c r="AE16" s="9">
        <v>1</v>
      </c>
      <c r="AF16" s="9">
        <v>2</v>
      </c>
      <c r="AG16" s="9">
        <v>3</v>
      </c>
      <c r="AH16" s="9">
        <v>1</v>
      </c>
      <c r="AI16" s="9">
        <v>2</v>
      </c>
      <c r="AJ16" s="9">
        <v>1</v>
      </c>
      <c r="AK16" s="9">
        <v>3</v>
      </c>
      <c r="AL16" s="9">
        <v>2</v>
      </c>
      <c r="AM16" s="1">
        <f t="shared" si="7"/>
        <v>15</v>
      </c>
      <c r="AN16" s="1">
        <f t="shared" si="8"/>
        <v>21.875</v>
      </c>
      <c r="AQ16" s="1">
        <f t="shared" si="0"/>
        <v>242.16071428571428</v>
      </c>
      <c r="AR16" s="1">
        <f t="shared" si="1"/>
        <v>152.78571428571428</v>
      </c>
      <c r="AS16" s="1">
        <f t="shared" si="9"/>
        <v>394.94642857142856</v>
      </c>
      <c r="AT16" s="1" t="s">
        <v>253</v>
      </c>
      <c r="AU16" s="20">
        <v>0</v>
      </c>
    </row>
    <row r="17" spans="1:47">
      <c r="A17" t="s">
        <v>16</v>
      </c>
      <c r="B17" s="9">
        <v>1</v>
      </c>
      <c r="C17" s="9">
        <v>1</v>
      </c>
      <c r="D17" s="9">
        <v>3</v>
      </c>
      <c r="E17" s="9">
        <v>4</v>
      </c>
      <c r="F17" s="9">
        <v>3</v>
      </c>
      <c r="G17" s="9">
        <v>4</v>
      </c>
      <c r="H17" s="9">
        <v>3</v>
      </c>
      <c r="I17" s="9">
        <v>4</v>
      </c>
      <c r="J17" s="1">
        <f t="shared" si="2"/>
        <v>23</v>
      </c>
      <c r="K17" s="1">
        <f t="shared" si="3"/>
        <v>46.875</v>
      </c>
      <c r="L17" s="9">
        <v>5</v>
      </c>
      <c r="M17" s="9">
        <v>2</v>
      </c>
      <c r="N17" s="9">
        <v>2</v>
      </c>
      <c r="O17" s="9">
        <v>2</v>
      </c>
      <c r="P17" s="9">
        <v>2</v>
      </c>
      <c r="Q17" s="9">
        <v>3</v>
      </c>
      <c r="R17" s="9">
        <v>2</v>
      </c>
      <c r="S17" s="9">
        <v>2</v>
      </c>
      <c r="T17" s="1">
        <f t="shared" si="4"/>
        <v>20</v>
      </c>
      <c r="U17" s="1">
        <f t="shared" si="5"/>
        <v>37.5</v>
      </c>
      <c r="V17" s="9">
        <v>1</v>
      </c>
      <c r="W17" s="9">
        <v>1</v>
      </c>
      <c r="X17" s="9">
        <v>4</v>
      </c>
      <c r="Y17" s="9">
        <v>1</v>
      </c>
      <c r="Z17" s="9">
        <v>2</v>
      </c>
      <c r="AA17" s="9">
        <v>2</v>
      </c>
      <c r="AB17" s="9">
        <v>2</v>
      </c>
      <c r="AC17" s="1">
        <f t="shared" si="10"/>
        <v>13</v>
      </c>
      <c r="AD17" s="1">
        <f t="shared" si="6"/>
        <v>21.428571428571427</v>
      </c>
      <c r="AE17" s="9">
        <v>1</v>
      </c>
      <c r="AF17" s="9">
        <v>1</v>
      </c>
      <c r="AG17" s="9">
        <v>2</v>
      </c>
      <c r="AH17" s="9">
        <v>3</v>
      </c>
      <c r="AI17" s="9">
        <v>1</v>
      </c>
      <c r="AJ17" s="9">
        <v>1</v>
      </c>
      <c r="AK17" s="9">
        <v>2</v>
      </c>
      <c r="AL17" s="9">
        <v>1</v>
      </c>
      <c r="AM17" s="1">
        <f t="shared" si="7"/>
        <v>12</v>
      </c>
      <c r="AN17" s="1">
        <f t="shared" si="8"/>
        <v>12.5</v>
      </c>
      <c r="AQ17" s="1">
        <f t="shared" si="0"/>
        <v>229.80357142857142</v>
      </c>
      <c r="AR17" s="1">
        <f t="shared" si="1"/>
        <v>152.57142857142856</v>
      </c>
      <c r="AS17" s="1">
        <f t="shared" si="9"/>
        <v>382.375</v>
      </c>
      <c r="AT17" s="1" t="s">
        <v>252</v>
      </c>
      <c r="AU17" s="20">
        <v>1</v>
      </c>
    </row>
    <row r="18" spans="1:47">
      <c r="A18" t="s">
        <v>17</v>
      </c>
      <c r="B18" s="9">
        <v>2</v>
      </c>
      <c r="C18" s="9">
        <v>2</v>
      </c>
      <c r="D18" s="9">
        <v>4</v>
      </c>
      <c r="E18" s="9">
        <v>2</v>
      </c>
      <c r="F18" s="9">
        <v>3</v>
      </c>
      <c r="G18" s="9">
        <v>3</v>
      </c>
      <c r="H18" s="9">
        <v>4</v>
      </c>
      <c r="I18" s="9">
        <v>3</v>
      </c>
      <c r="J18" s="1">
        <f t="shared" si="2"/>
        <v>23</v>
      </c>
      <c r="K18" s="1">
        <f t="shared" si="3"/>
        <v>46.875</v>
      </c>
      <c r="L18" s="9">
        <v>4</v>
      </c>
      <c r="M18" s="9">
        <v>3</v>
      </c>
      <c r="N18" s="9">
        <v>4</v>
      </c>
      <c r="O18" s="9">
        <v>2</v>
      </c>
      <c r="P18" s="9">
        <v>2</v>
      </c>
      <c r="Q18" s="9">
        <v>5</v>
      </c>
      <c r="R18" s="9">
        <v>2</v>
      </c>
      <c r="S18" s="9">
        <v>1</v>
      </c>
      <c r="T18" s="1">
        <f t="shared" si="4"/>
        <v>23</v>
      </c>
      <c r="U18" s="1">
        <f t="shared" si="5"/>
        <v>46.875</v>
      </c>
      <c r="V18" s="9">
        <v>1</v>
      </c>
      <c r="W18" s="9">
        <v>4</v>
      </c>
      <c r="X18" s="9">
        <v>3</v>
      </c>
      <c r="Y18" s="9">
        <v>3</v>
      </c>
      <c r="Z18" s="9">
        <v>2</v>
      </c>
      <c r="AA18" s="9">
        <v>4</v>
      </c>
      <c r="AB18" s="9">
        <v>1</v>
      </c>
      <c r="AC18" s="1">
        <f t="shared" si="10"/>
        <v>18</v>
      </c>
      <c r="AD18" s="1">
        <f t="shared" si="6"/>
        <v>39.285714285714285</v>
      </c>
      <c r="AE18" s="9">
        <v>3</v>
      </c>
      <c r="AF18" s="9">
        <v>3</v>
      </c>
      <c r="AG18" s="9">
        <v>4</v>
      </c>
      <c r="AH18" s="9">
        <v>2</v>
      </c>
      <c r="AI18" s="9">
        <v>2</v>
      </c>
      <c r="AJ18" s="9">
        <v>1</v>
      </c>
      <c r="AK18" s="9">
        <v>5</v>
      </c>
      <c r="AL18" s="9">
        <v>1</v>
      </c>
      <c r="AM18" s="1">
        <f t="shared" si="7"/>
        <v>21</v>
      </c>
      <c r="AN18" s="1">
        <f t="shared" si="8"/>
        <v>40.625</v>
      </c>
      <c r="AQ18" s="1">
        <f t="shared" si="0"/>
        <v>282.03571428571428</v>
      </c>
      <c r="AR18" s="1">
        <f t="shared" si="1"/>
        <v>398.44642857142856</v>
      </c>
      <c r="AS18" s="1">
        <f t="shared" si="9"/>
        <v>680.48214285714289</v>
      </c>
      <c r="AT18" s="1" t="s">
        <v>252</v>
      </c>
      <c r="AU18" s="20">
        <v>1</v>
      </c>
    </row>
    <row r="19" spans="1:47">
      <c r="A19" t="s">
        <v>18</v>
      </c>
      <c r="B19" s="9">
        <v>4</v>
      </c>
      <c r="C19" s="9">
        <v>4</v>
      </c>
      <c r="D19" s="9">
        <v>5</v>
      </c>
      <c r="E19" s="9">
        <v>5</v>
      </c>
      <c r="F19" s="9">
        <v>5</v>
      </c>
      <c r="G19" s="9">
        <v>5</v>
      </c>
      <c r="H19" s="9">
        <v>4</v>
      </c>
      <c r="I19" s="9">
        <v>3</v>
      </c>
      <c r="J19" s="1">
        <f t="shared" si="2"/>
        <v>35</v>
      </c>
      <c r="K19" s="1">
        <f t="shared" si="3"/>
        <v>84.375</v>
      </c>
      <c r="L19" s="9">
        <v>2</v>
      </c>
      <c r="M19" s="9">
        <v>1</v>
      </c>
      <c r="N19" s="9">
        <v>1</v>
      </c>
      <c r="O19" s="9">
        <v>1</v>
      </c>
      <c r="P19" s="9">
        <v>1</v>
      </c>
      <c r="Q19" s="9">
        <v>1</v>
      </c>
      <c r="R19" s="9">
        <v>1</v>
      </c>
      <c r="S19" s="9">
        <v>1</v>
      </c>
      <c r="T19" s="1">
        <f t="shared" si="4"/>
        <v>9</v>
      </c>
      <c r="U19" s="1">
        <f t="shared" si="5"/>
        <v>3.125</v>
      </c>
      <c r="V19" s="9">
        <v>1</v>
      </c>
      <c r="W19" s="9">
        <v>1</v>
      </c>
      <c r="X19" s="9">
        <v>1</v>
      </c>
      <c r="Y19" s="9">
        <v>1</v>
      </c>
      <c r="Z19" s="9">
        <v>1</v>
      </c>
      <c r="AA19" s="9">
        <v>1</v>
      </c>
      <c r="AB19" s="9">
        <v>1</v>
      </c>
      <c r="AC19" s="1">
        <f t="shared" si="10"/>
        <v>7</v>
      </c>
      <c r="AD19" s="1">
        <f t="shared" si="6"/>
        <v>0</v>
      </c>
      <c r="AE19" s="9">
        <v>1</v>
      </c>
      <c r="AF19" s="9">
        <v>1</v>
      </c>
      <c r="AG19" s="9">
        <v>2</v>
      </c>
      <c r="AH19" s="9">
        <v>1</v>
      </c>
      <c r="AI19" s="9">
        <v>1</v>
      </c>
      <c r="AJ19" s="9">
        <v>1</v>
      </c>
      <c r="AK19" s="9">
        <v>1</v>
      </c>
      <c r="AL19" s="9">
        <v>1</v>
      </c>
      <c r="AM19" s="1">
        <f t="shared" si="7"/>
        <v>9</v>
      </c>
      <c r="AN19" s="1">
        <f t="shared" si="8"/>
        <v>3.125</v>
      </c>
      <c r="AQ19" s="1">
        <f t="shared" si="0"/>
        <v>198.5</v>
      </c>
      <c r="AR19" s="1">
        <f t="shared" si="1"/>
        <v>90.267857142857139</v>
      </c>
      <c r="AS19" s="1">
        <f t="shared" si="9"/>
        <v>288.76785714285711</v>
      </c>
      <c r="AT19" s="1" t="s">
        <v>253</v>
      </c>
      <c r="AU19" s="20">
        <v>0</v>
      </c>
    </row>
    <row r="20" spans="1:47">
      <c r="A20" t="s">
        <v>19</v>
      </c>
      <c r="B20" s="9">
        <v>3</v>
      </c>
      <c r="C20" s="9">
        <v>3</v>
      </c>
      <c r="D20" s="9">
        <v>3</v>
      </c>
      <c r="E20" s="9">
        <v>4</v>
      </c>
      <c r="F20" s="9">
        <v>4</v>
      </c>
      <c r="G20" s="9">
        <v>4</v>
      </c>
      <c r="H20" s="9">
        <v>3</v>
      </c>
      <c r="I20" s="9">
        <v>4</v>
      </c>
      <c r="J20" s="1">
        <f t="shared" si="2"/>
        <v>28</v>
      </c>
      <c r="K20" s="1">
        <f t="shared" si="3"/>
        <v>62.5</v>
      </c>
      <c r="L20" s="9">
        <v>3</v>
      </c>
      <c r="M20" s="9">
        <v>3</v>
      </c>
      <c r="N20" s="9">
        <v>3</v>
      </c>
      <c r="O20" s="9">
        <v>3</v>
      </c>
      <c r="P20" s="9">
        <v>2</v>
      </c>
      <c r="Q20" s="9">
        <v>3</v>
      </c>
      <c r="R20" s="9">
        <v>3</v>
      </c>
      <c r="S20" s="9">
        <v>4</v>
      </c>
      <c r="T20" s="1">
        <f t="shared" si="4"/>
        <v>24</v>
      </c>
      <c r="U20" s="1">
        <f t="shared" si="5"/>
        <v>50</v>
      </c>
      <c r="V20" s="9">
        <v>2</v>
      </c>
      <c r="W20" s="9">
        <v>2</v>
      </c>
      <c r="X20" s="9">
        <v>2</v>
      </c>
      <c r="Y20" s="9">
        <v>1</v>
      </c>
      <c r="Z20" s="9">
        <v>2</v>
      </c>
      <c r="AA20" s="9">
        <v>2</v>
      </c>
      <c r="AB20" s="9">
        <v>1</v>
      </c>
      <c r="AC20" s="1">
        <f t="shared" si="10"/>
        <v>12</v>
      </c>
      <c r="AD20" s="1">
        <f t="shared" si="6"/>
        <v>17.857142857142858</v>
      </c>
      <c r="AE20" s="9">
        <v>4</v>
      </c>
      <c r="AF20" s="9">
        <v>4</v>
      </c>
      <c r="AG20" s="9">
        <v>3</v>
      </c>
      <c r="AH20" s="9">
        <v>3</v>
      </c>
      <c r="AI20" s="9">
        <v>5</v>
      </c>
      <c r="AJ20" s="9">
        <v>3</v>
      </c>
      <c r="AK20" s="9">
        <v>3</v>
      </c>
      <c r="AL20" s="9">
        <v>4</v>
      </c>
      <c r="AM20" s="1">
        <f t="shared" si="7"/>
        <v>29</v>
      </c>
      <c r="AN20" s="1">
        <f t="shared" si="8"/>
        <v>65.625</v>
      </c>
      <c r="AQ20" s="1">
        <f t="shared" si="0"/>
        <v>287.35714285714283</v>
      </c>
      <c r="AR20" s="1">
        <f t="shared" si="1"/>
        <v>413.73214285714289</v>
      </c>
      <c r="AS20" s="1">
        <f t="shared" si="9"/>
        <v>701.08928571428578</v>
      </c>
      <c r="AT20" s="1" t="s">
        <v>252</v>
      </c>
      <c r="AU20" s="20">
        <v>1</v>
      </c>
    </row>
    <row r="21" spans="1:47">
      <c r="A21" t="s">
        <v>20</v>
      </c>
      <c r="B21" s="9">
        <v>3</v>
      </c>
      <c r="C21" s="9">
        <v>1</v>
      </c>
      <c r="D21" s="9">
        <v>2</v>
      </c>
      <c r="E21" s="9">
        <v>3</v>
      </c>
      <c r="F21" s="9">
        <v>4</v>
      </c>
      <c r="G21" s="9">
        <v>3</v>
      </c>
      <c r="H21" s="9">
        <v>5</v>
      </c>
      <c r="I21" s="9">
        <v>3</v>
      </c>
      <c r="J21" s="1">
        <f t="shared" si="2"/>
        <v>24</v>
      </c>
      <c r="K21" s="1">
        <f t="shared" si="3"/>
        <v>50</v>
      </c>
      <c r="L21" s="9">
        <v>5</v>
      </c>
      <c r="M21" s="9">
        <v>3</v>
      </c>
      <c r="N21" s="9">
        <v>1</v>
      </c>
      <c r="O21" s="9">
        <v>1</v>
      </c>
      <c r="P21" s="9">
        <v>1</v>
      </c>
      <c r="Q21" s="9">
        <v>4</v>
      </c>
      <c r="R21" s="9">
        <v>4</v>
      </c>
      <c r="S21" s="9">
        <v>5</v>
      </c>
      <c r="T21" s="1">
        <f t="shared" si="4"/>
        <v>24</v>
      </c>
      <c r="U21" s="1">
        <f t="shared" si="5"/>
        <v>50</v>
      </c>
      <c r="V21" s="9">
        <v>4</v>
      </c>
      <c r="W21" s="9">
        <v>1</v>
      </c>
      <c r="X21" s="9">
        <v>1</v>
      </c>
      <c r="Y21" s="9">
        <v>1</v>
      </c>
      <c r="Z21" s="9">
        <v>1</v>
      </c>
      <c r="AA21" s="9">
        <v>1</v>
      </c>
      <c r="AB21" s="9">
        <v>1</v>
      </c>
      <c r="AC21" s="1">
        <f t="shared" si="10"/>
        <v>10</v>
      </c>
      <c r="AD21" s="1">
        <f t="shared" si="6"/>
        <v>10.714285714285714</v>
      </c>
      <c r="AE21" s="9">
        <v>1</v>
      </c>
      <c r="AF21" s="9">
        <v>2</v>
      </c>
      <c r="AG21" s="9">
        <v>1</v>
      </c>
      <c r="AH21" s="9">
        <v>1</v>
      </c>
      <c r="AI21" s="9">
        <v>1</v>
      </c>
      <c r="AJ21" s="9">
        <v>1</v>
      </c>
      <c r="AK21" s="9">
        <v>1</v>
      </c>
      <c r="AL21" s="9">
        <v>5</v>
      </c>
      <c r="AM21" s="1">
        <f t="shared" si="7"/>
        <v>13</v>
      </c>
      <c r="AN21" s="1">
        <f t="shared" si="8"/>
        <v>15.625</v>
      </c>
      <c r="AQ21" s="1">
        <f t="shared" si="0"/>
        <v>239.71428571428572</v>
      </c>
      <c r="AR21" s="1">
        <f t="shared" si="1"/>
        <v>243.16071428571428</v>
      </c>
      <c r="AS21" s="1">
        <f t="shared" si="9"/>
        <v>482.875</v>
      </c>
      <c r="AT21" s="1" t="s">
        <v>252</v>
      </c>
      <c r="AU21" s="20">
        <v>1</v>
      </c>
    </row>
    <row r="22" spans="1:47">
      <c r="A22" t="s">
        <v>21</v>
      </c>
      <c r="B22" s="9">
        <v>3</v>
      </c>
      <c r="C22" s="9">
        <v>3</v>
      </c>
      <c r="D22" s="9">
        <v>4</v>
      </c>
      <c r="E22" s="9">
        <v>4</v>
      </c>
      <c r="F22" s="9">
        <v>5</v>
      </c>
      <c r="G22" s="9">
        <v>2</v>
      </c>
      <c r="H22" s="9">
        <v>5</v>
      </c>
      <c r="I22" s="9">
        <v>3</v>
      </c>
      <c r="J22" s="1">
        <f t="shared" si="2"/>
        <v>29</v>
      </c>
      <c r="K22" s="1">
        <f t="shared" si="3"/>
        <v>65.625</v>
      </c>
      <c r="L22" s="9">
        <v>3</v>
      </c>
      <c r="M22" s="9">
        <v>2</v>
      </c>
      <c r="N22" s="9">
        <v>1</v>
      </c>
      <c r="O22" s="9">
        <v>1</v>
      </c>
      <c r="P22" s="9">
        <v>1</v>
      </c>
      <c r="Q22" s="9">
        <v>2</v>
      </c>
      <c r="R22" s="9">
        <v>2</v>
      </c>
      <c r="S22" s="9">
        <v>3</v>
      </c>
      <c r="T22" s="1">
        <f t="shared" si="4"/>
        <v>15</v>
      </c>
      <c r="U22" s="1">
        <f t="shared" si="5"/>
        <v>21.875</v>
      </c>
      <c r="V22" s="9">
        <v>1</v>
      </c>
      <c r="W22" s="9">
        <v>1</v>
      </c>
      <c r="X22" s="9">
        <v>1</v>
      </c>
      <c r="Y22" s="9">
        <v>1</v>
      </c>
      <c r="Z22" s="9">
        <v>1</v>
      </c>
      <c r="AA22" s="9">
        <v>1</v>
      </c>
      <c r="AB22" s="9">
        <v>1</v>
      </c>
      <c r="AC22" s="1">
        <f t="shared" si="10"/>
        <v>7</v>
      </c>
      <c r="AD22" s="1">
        <f t="shared" si="6"/>
        <v>0</v>
      </c>
      <c r="AE22" s="9">
        <v>2</v>
      </c>
      <c r="AF22" s="9">
        <v>3</v>
      </c>
      <c r="AG22" s="9">
        <v>4</v>
      </c>
      <c r="AH22" s="9">
        <v>2</v>
      </c>
      <c r="AI22" s="9">
        <v>3</v>
      </c>
      <c r="AJ22" s="9">
        <v>4</v>
      </c>
      <c r="AK22" s="9">
        <v>3</v>
      </c>
      <c r="AL22" s="9">
        <v>3</v>
      </c>
      <c r="AM22" s="1">
        <f t="shared" si="7"/>
        <v>24</v>
      </c>
      <c r="AN22" s="1">
        <f t="shared" si="8"/>
        <v>50</v>
      </c>
      <c r="AQ22" s="1">
        <f t="shared" si="0"/>
        <v>213.5</v>
      </c>
      <c r="AR22" s="1">
        <f t="shared" si="1"/>
        <v>219.94642857142858</v>
      </c>
      <c r="AS22" s="1">
        <f t="shared" si="9"/>
        <v>433.44642857142856</v>
      </c>
      <c r="AT22" s="1" t="s">
        <v>252</v>
      </c>
      <c r="AU22" s="20">
        <v>1</v>
      </c>
    </row>
    <row r="23" spans="1:47">
      <c r="A23" t="s">
        <v>22</v>
      </c>
      <c r="B23" s="9">
        <v>3</v>
      </c>
      <c r="C23" s="9">
        <v>3</v>
      </c>
      <c r="D23" s="9">
        <v>4</v>
      </c>
      <c r="E23" s="9">
        <v>4</v>
      </c>
      <c r="F23" s="9">
        <v>3</v>
      </c>
      <c r="G23" s="9">
        <v>4</v>
      </c>
      <c r="H23" s="9">
        <v>4</v>
      </c>
      <c r="I23" s="9">
        <v>4</v>
      </c>
      <c r="J23" s="1">
        <f t="shared" si="2"/>
        <v>29</v>
      </c>
      <c r="K23" s="1">
        <f t="shared" si="3"/>
        <v>65.625</v>
      </c>
      <c r="L23" s="9">
        <v>2</v>
      </c>
      <c r="M23" s="9">
        <v>2</v>
      </c>
      <c r="N23" s="9">
        <v>3</v>
      </c>
      <c r="O23" s="9">
        <v>2</v>
      </c>
      <c r="P23" s="9">
        <v>1</v>
      </c>
      <c r="Q23" s="9">
        <v>2</v>
      </c>
      <c r="R23" s="9">
        <v>2</v>
      </c>
      <c r="S23" s="9">
        <v>2</v>
      </c>
      <c r="T23" s="1">
        <f t="shared" si="4"/>
        <v>16</v>
      </c>
      <c r="U23" s="1">
        <f t="shared" si="5"/>
        <v>25</v>
      </c>
      <c r="V23" s="9">
        <v>3</v>
      </c>
      <c r="W23" s="9">
        <v>2</v>
      </c>
      <c r="X23" s="9">
        <v>1</v>
      </c>
      <c r="Y23" s="9">
        <v>2</v>
      </c>
      <c r="Z23" s="9">
        <v>1</v>
      </c>
      <c r="AA23" s="9">
        <v>2</v>
      </c>
      <c r="AB23" s="9">
        <v>2</v>
      </c>
      <c r="AC23" s="1">
        <f t="shared" si="10"/>
        <v>13</v>
      </c>
      <c r="AD23" s="1">
        <f t="shared" si="6"/>
        <v>21.428571428571427</v>
      </c>
      <c r="AE23" s="9">
        <v>2</v>
      </c>
      <c r="AF23" s="9">
        <v>2</v>
      </c>
      <c r="AG23" s="9">
        <v>2</v>
      </c>
      <c r="AH23" s="9">
        <v>2</v>
      </c>
      <c r="AI23" s="9">
        <v>1</v>
      </c>
      <c r="AJ23" s="9">
        <v>1</v>
      </c>
      <c r="AK23" s="9">
        <v>3</v>
      </c>
      <c r="AL23" s="9">
        <v>2</v>
      </c>
      <c r="AM23" s="1">
        <f t="shared" si="7"/>
        <v>15</v>
      </c>
      <c r="AN23" s="1">
        <f t="shared" si="8"/>
        <v>21.875</v>
      </c>
      <c r="AQ23" s="1">
        <f t="shared" si="0"/>
        <v>243.05357142857142</v>
      </c>
      <c r="AR23" s="1">
        <f t="shared" si="1"/>
        <v>203.58928571428572</v>
      </c>
      <c r="AS23" s="1">
        <f t="shared" si="9"/>
        <v>446.64285714285711</v>
      </c>
      <c r="AT23" s="1" t="s">
        <v>253</v>
      </c>
      <c r="AU23" s="20">
        <v>0</v>
      </c>
    </row>
    <row r="24" spans="1:47">
      <c r="A24" t="s">
        <v>23</v>
      </c>
      <c r="B24" s="9">
        <v>5</v>
      </c>
      <c r="C24" s="9">
        <v>4</v>
      </c>
      <c r="D24" s="9">
        <v>5</v>
      </c>
      <c r="E24" s="9">
        <v>4</v>
      </c>
      <c r="F24" s="9">
        <v>3</v>
      </c>
      <c r="G24" s="9">
        <v>4</v>
      </c>
      <c r="H24" s="9">
        <v>5</v>
      </c>
      <c r="I24" s="9">
        <v>4</v>
      </c>
      <c r="J24" s="1">
        <f t="shared" si="2"/>
        <v>34</v>
      </c>
      <c r="K24" s="1">
        <f t="shared" si="3"/>
        <v>81.25</v>
      </c>
      <c r="L24" s="9">
        <v>2</v>
      </c>
      <c r="M24" s="9">
        <v>1</v>
      </c>
      <c r="N24" s="9">
        <v>1</v>
      </c>
      <c r="O24" s="9">
        <v>1</v>
      </c>
      <c r="P24" s="9">
        <v>1</v>
      </c>
      <c r="Q24" s="9">
        <v>4</v>
      </c>
      <c r="R24" s="9">
        <v>1</v>
      </c>
      <c r="S24" s="9">
        <v>1</v>
      </c>
      <c r="T24" s="1">
        <f t="shared" si="4"/>
        <v>12</v>
      </c>
      <c r="U24" s="1">
        <f t="shared" si="5"/>
        <v>12.5</v>
      </c>
      <c r="V24" s="9">
        <v>2</v>
      </c>
      <c r="W24" s="9">
        <v>1</v>
      </c>
      <c r="X24" s="9">
        <v>3</v>
      </c>
      <c r="Y24" s="9">
        <v>1</v>
      </c>
      <c r="Z24" s="9">
        <v>1</v>
      </c>
      <c r="AA24" s="9">
        <v>1</v>
      </c>
      <c r="AB24" s="9">
        <v>2</v>
      </c>
      <c r="AC24" s="1">
        <f t="shared" si="10"/>
        <v>11</v>
      </c>
      <c r="AD24" s="1">
        <f t="shared" si="6"/>
        <v>14.285714285714285</v>
      </c>
      <c r="AE24" s="9">
        <v>2</v>
      </c>
      <c r="AF24" s="9">
        <v>1</v>
      </c>
      <c r="AG24" s="9">
        <v>1</v>
      </c>
      <c r="AH24" s="9">
        <v>2</v>
      </c>
      <c r="AI24" s="9">
        <v>1</v>
      </c>
      <c r="AJ24" s="9">
        <v>1</v>
      </c>
      <c r="AK24" s="9">
        <v>1</v>
      </c>
      <c r="AL24" s="9">
        <v>1</v>
      </c>
      <c r="AM24" s="1">
        <f t="shared" si="7"/>
        <v>10</v>
      </c>
      <c r="AN24" s="1">
        <f t="shared" si="8"/>
        <v>6.25</v>
      </c>
      <c r="AQ24" s="1">
        <f t="shared" si="0"/>
        <v>232.03571428571428</v>
      </c>
      <c r="AR24" s="1">
        <f t="shared" si="1"/>
        <v>166.05357142857142</v>
      </c>
      <c r="AS24" s="1">
        <f t="shared" si="9"/>
        <v>398.08928571428567</v>
      </c>
      <c r="AT24" s="1" t="s">
        <v>253</v>
      </c>
      <c r="AU24" s="20">
        <v>0</v>
      </c>
    </row>
    <row r="25" spans="1:47">
      <c r="A25" t="s">
        <v>24</v>
      </c>
      <c r="B25" s="9">
        <v>5</v>
      </c>
      <c r="C25" s="9">
        <v>3</v>
      </c>
      <c r="D25" s="9">
        <v>4</v>
      </c>
      <c r="E25" s="9">
        <v>4</v>
      </c>
      <c r="F25" s="9">
        <v>5</v>
      </c>
      <c r="G25" s="9">
        <v>4</v>
      </c>
      <c r="H25" s="9">
        <v>5</v>
      </c>
      <c r="I25" s="9">
        <v>3</v>
      </c>
      <c r="J25" s="1">
        <f t="shared" si="2"/>
        <v>33</v>
      </c>
      <c r="K25" s="1">
        <f t="shared" si="3"/>
        <v>78.125</v>
      </c>
      <c r="L25" s="9">
        <v>2</v>
      </c>
      <c r="M25" s="9">
        <v>3</v>
      </c>
      <c r="N25" s="9">
        <v>3</v>
      </c>
      <c r="O25" s="9">
        <v>2</v>
      </c>
      <c r="P25" s="9">
        <v>1</v>
      </c>
      <c r="Q25" s="9">
        <v>1</v>
      </c>
      <c r="R25" s="9">
        <v>2</v>
      </c>
      <c r="S25" s="9">
        <v>4</v>
      </c>
      <c r="T25" s="1">
        <f t="shared" si="4"/>
        <v>18</v>
      </c>
      <c r="U25" s="1">
        <f t="shared" si="5"/>
        <v>31.25</v>
      </c>
      <c r="V25" s="9">
        <v>2</v>
      </c>
      <c r="W25" s="9">
        <v>1</v>
      </c>
      <c r="X25" s="9">
        <v>1</v>
      </c>
      <c r="Y25" s="9">
        <v>2</v>
      </c>
      <c r="Z25" s="9">
        <v>1</v>
      </c>
      <c r="AA25" s="9">
        <v>2</v>
      </c>
      <c r="AB25" s="9">
        <v>2</v>
      </c>
      <c r="AC25" s="1">
        <f t="shared" si="10"/>
        <v>11</v>
      </c>
      <c r="AD25" s="1">
        <f t="shared" si="6"/>
        <v>14.285714285714285</v>
      </c>
      <c r="AE25" s="9">
        <v>3</v>
      </c>
      <c r="AF25" s="9">
        <v>3</v>
      </c>
      <c r="AG25" s="9">
        <v>2</v>
      </c>
      <c r="AH25" s="9">
        <v>2</v>
      </c>
      <c r="AI25" s="9">
        <v>1</v>
      </c>
      <c r="AJ25" s="9">
        <v>2</v>
      </c>
      <c r="AK25" s="9">
        <v>1</v>
      </c>
      <c r="AL25" s="9">
        <v>4</v>
      </c>
      <c r="AM25" s="1">
        <f t="shared" si="7"/>
        <v>18</v>
      </c>
      <c r="AN25" s="1">
        <f t="shared" si="8"/>
        <v>31.25</v>
      </c>
      <c r="AQ25" s="1">
        <f t="shared" si="0"/>
        <v>265.66071428571428</v>
      </c>
      <c r="AR25" s="1">
        <f t="shared" si="1"/>
        <v>314.33928571428572</v>
      </c>
      <c r="AS25" s="1">
        <f t="shared" si="9"/>
        <v>580</v>
      </c>
      <c r="AT25" s="1" t="s">
        <v>252</v>
      </c>
      <c r="AU25" s="20">
        <v>1</v>
      </c>
    </row>
    <row r="26" spans="1:47">
      <c r="A26" t="s">
        <v>25</v>
      </c>
      <c r="B26" s="9">
        <v>4</v>
      </c>
      <c r="C26" s="9">
        <v>4</v>
      </c>
      <c r="D26" s="9">
        <v>3</v>
      </c>
      <c r="E26" s="9">
        <v>4</v>
      </c>
      <c r="F26" s="9">
        <v>3</v>
      </c>
      <c r="G26" s="9">
        <v>3</v>
      </c>
      <c r="H26" s="9">
        <v>5</v>
      </c>
      <c r="I26" s="9">
        <v>3</v>
      </c>
      <c r="J26" s="1">
        <f t="shared" si="2"/>
        <v>29</v>
      </c>
      <c r="K26" s="1">
        <f t="shared" si="3"/>
        <v>65.625</v>
      </c>
      <c r="L26" s="9">
        <v>2</v>
      </c>
      <c r="M26" s="9">
        <v>2</v>
      </c>
      <c r="N26" s="9">
        <v>3</v>
      </c>
      <c r="O26" s="9">
        <v>4</v>
      </c>
      <c r="P26" s="9">
        <v>2</v>
      </c>
      <c r="Q26" s="9">
        <v>3</v>
      </c>
      <c r="R26" s="9">
        <v>3</v>
      </c>
      <c r="S26" s="9">
        <v>2</v>
      </c>
      <c r="T26" s="1">
        <f t="shared" si="4"/>
        <v>21</v>
      </c>
      <c r="U26" s="1">
        <f t="shared" si="5"/>
        <v>40.625</v>
      </c>
      <c r="V26" s="9">
        <v>2</v>
      </c>
      <c r="W26" s="9">
        <v>2</v>
      </c>
      <c r="X26" s="9">
        <v>2</v>
      </c>
      <c r="Y26" s="9">
        <v>2</v>
      </c>
      <c r="Z26" s="9">
        <v>2</v>
      </c>
      <c r="AA26" s="9">
        <v>2</v>
      </c>
      <c r="AB26" s="9">
        <v>3</v>
      </c>
      <c r="AC26" s="1">
        <f t="shared" si="10"/>
        <v>15</v>
      </c>
      <c r="AD26" s="1">
        <f t="shared" si="6"/>
        <v>28.571428571428569</v>
      </c>
      <c r="AE26" s="9">
        <v>2</v>
      </c>
      <c r="AF26" s="9">
        <v>2</v>
      </c>
      <c r="AG26" s="9">
        <v>4</v>
      </c>
      <c r="AH26" s="9">
        <v>2</v>
      </c>
      <c r="AI26" s="9">
        <v>2</v>
      </c>
      <c r="AJ26" s="9">
        <v>2</v>
      </c>
      <c r="AK26" s="9">
        <v>3</v>
      </c>
      <c r="AL26" s="9">
        <v>2</v>
      </c>
      <c r="AM26" s="1">
        <f t="shared" si="7"/>
        <v>19</v>
      </c>
      <c r="AN26" s="1">
        <f t="shared" si="8"/>
        <v>34.375</v>
      </c>
      <c r="AQ26" s="1">
        <f t="shared" si="0"/>
        <v>283.82142857142856</v>
      </c>
      <c r="AR26" s="1">
        <f t="shared" si="1"/>
        <v>241.125</v>
      </c>
      <c r="AS26" s="1">
        <f t="shared" si="9"/>
        <v>524.94642857142856</v>
      </c>
      <c r="AT26" s="1" t="s">
        <v>252</v>
      </c>
      <c r="AU26" s="20">
        <v>1</v>
      </c>
    </row>
    <row r="27" spans="1:47">
      <c r="A27" t="s">
        <v>26</v>
      </c>
      <c r="B27" s="9">
        <v>3</v>
      </c>
      <c r="C27" s="9">
        <v>3</v>
      </c>
      <c r="D27" s="9">
        <v>3</v>
      </c>
      <c r="E27" s="9">
        <v>3</v>
      </c>
      <c r="F27" s="9">
        <v>3</v>
      </c>
      <c r="G27" s="9">
        <v>3</v>
      </c>
      <c r="H27" s="9">
        <v>3</v>
      </c>
      <c r="I27" s="9">
        <v>3</v>
      </c>
      <c r="J27" s="1">
        <f t="shared" si="2"/>
        <v>24</v>
      </c>
      <c r="K27" s="1">
        <f t="shared" si="3"/>
        <v>50</v>
      </c>
      <c r="L27" s="9">
        <v>3</v>
      </c>
      <c r="M27" s="9">
        <v>3</v>
      </c>
      <c r="N27" s="9">
        <v>3</v>
      </c>
      <c r="O27" s="9">
        <v>3</v>
      </c>
      <c r="P27" s="9">
        <v>3</v>
      </c>
      <c r="Q27" s="9">
        <v>3</v>
      </c>
      <c r="R27" s="9">
        <v>3</v>
      </c>
      <c r="S27" s="9">
        <v>3</v>
      </c>
      <c r="T27" s="1">
        <f t="shared" si="4"/>
        <v>24</v>
      </c>
      <c r="U27" s="1">
        <f t="shared" si="5"/>
        <v>50</v>
      </c>
      <c r="V27" s="9">
        <v>3</v>
      </c>
      <c r="W27" s="9">
        <v>3</v>
      </c>
      <c r="X27" s="9">
        <v>3</v>
      </c>
      <c r="Y27" s="9">
        <v>3</v>
      </c>
      <c r="Z27" s="9">
        <v>3</v>
      </c>
      <c r="AA27" s="9">
        <v>3</v>
      </c>
      <c r="AB27" s="9">
        <v>3</v>
      </c>
      <c r="AC27" s="1">
        <f t="shared" si="10"/>
        <v>21</v>
      </c>
      <c r="AD27" s="1">
        <f t="shared" si="6"/>
        <v>50</v>
      </c>
      <c r="AE27" s="9">
        <v>3</v>
      </c>
      <c r="AF27" s="9">
        <v>3</v>
      </c>
      <c r="AG27" s="9">
        <v>3</v>
      </c>
      <c r="AH27" s="9">
        <v>3</v>
      </c>
      <c r="AI27" s="9">
        <v>3</v>
      </c>
      <c r="AJ27" s="9">
        <v>3</v>
      </c>
      <c r="AK27" s="9">
        <v>3</v>
      </c>
      <c r="AL27" s="9">
        <v>3</v>
      </c>
      <c r="AM27" s="1">
        <f t="shared" si="7"/>
        <v>24</v>
      </c>
      <c r="AN27" s="1">
        <f t="shared" si="8"/>
        <v>50</v>
      </c>
      <c r="AQ27" s="1">
        <f t="shared" si="0"/>
        <v>312</v>
      </c>
      <c r="AR27" s="1">
        <f t="shared" si="1"/>
        <v>368.71428571428572</v>
      </c>
      <c r="AS27" s="1">
        <f t="shared" si="9"/>
        <v>680.71428571428578</v>
      </c>
      <c r="AT27" s="1" t="s">
        <v>252</v>
      </c>
      <c r="AU27" s="20">
        <v>1</v>
      </c>
    </row>
    <row r="28" spans="1:47">
      <c r="A28" t="s">
        <v>27</v>
      </c>
      <c r="B28" s="9">
        <v>4</v>
      </c>
      <c r="C28" s="9">
        <v>4</v>
      </c>
      <c r="D28" s="9">
        <v>5</v>
      </c>
      <c r="E28" s="9">
        <v>4</v>
      </c>
      <c r="F28" s="9">
        <v>5</v>
      </c>
      <c r="G28" s="9">
        <v>4</v>
      </c>
      <c r="H28" s="9">
        <v>4</v>
      </c>
      <c r="I28" s="9">
        <v>3</v>
      </c>
      <c r="J28" s="1">
        <f t="shared" si="2"/>
        <v>33</v>
      </c>
      <c r="K28" s="1">
        <f t="shared" si="3"/>
        <v>78.125</v>
      </c>
      <c r="L28" s="9">
        <v>2</v>
      </c>
      <c r="M28" s="9">
        <v>1</v>
      </c>
      <c r="N28" s="9">
        <v>2</v>
      </c>
      <c r="O28" s="9">
        <v>5</v>
      </c>
      <c r="P28" s="9">
        <v>3</v>
      </c>
      <c r="Q28" s="9">
        <v>3</v>
      </c>
      <c r="R28" s="9">
        <v>1</v>
      </c>
      <c r="S28" s="9">
        <v>2</v>
      </c>
      <c r="T28" s="1">
        <f t="shared" si="4"/>
        <v>19</v>
      </c>
      <c r="U28" s="1">
        <f t="shared" si="5"/>
        <v>34.375</v>
      </c>
      <c r="V28" s="9">
        <v>4</v>
      </c>
      <c r="W28" s="9">
        <v>1</v>
      </c>
      <c r="X28" s="9">
        <v>2</v>
      </c>
      <c r="Y28" s="9">
        <v>1</v>
      </c>
      <c r="Z28" s="9">
        <v>3</v>
      </c>
      <c r="AA28" s="9">
        <v>1</v>
      </c>
      <c r="AB28" s="9">
        <v>1</v>
      </c>
      <c r="AC28" s="1">
        <f t="shared" si="10"/>
        <v>13</v>
      </c>
      <c r="AD28" s="1">
        <f t="shared" si="6"/>
        <v>21.428571428571427</v>
      </c>
      <c r="AE28" s="9">
        <v>2</v>
      </c>
      <c r="AF28" s="9">
        <v>1</v>
      </c>
      <c r="AG28" s="9">
        <v>3</v>
      </c>
      <c r="AH28" s="9">
        <v>4</v>
      </c>
      <c r="AI28" s="9">
        <v>1</v>
      </c>
      <c r="AJ28" s="9">
        <v>1</v>
      </c>
      <c r="AK28" s="9">
        <v>1</v>
      </c>
      <c r="AL28" s="9">
        <v>2</v>
      </c>
      <c r="AM28" s="1">
        <f t="shared" si="7"/>
        <v>15</v>
      </c>
      <c r="AN28" s="1">
        <f t="shared" si="8"/>
        <v>21.875</v>
      </c>
      <c r="AQ28" s="1">
        <f t="shared" si="0"/>
        <v>278.92857142857144</v>
      </c>
      <c r="AR28" s="1">
        <f t="shared" si="1"/>
        <v>257.60714285714289</v>
      </c>
      <c r="AS28" s="1">
        <f t="shared" si="9"/>
        <v>536.53571428571433</v>
      </c>
      <c r="AT28" s="1" t="s">
        <v>252</v>
      </c>
      <c r="AU28" s="20">
        <v>1</v>
      </c>
    </row>
    <row r="29" spans="1:47">
      <c r="A29" t="s">
        <v>28</v>
      </c>
      <c r="B29" s="9">
        <v>4</v>
      </c>
      <c r="C29" s="9">
        <v>3</v>
      </c>
      <c r="D29" s="9">
        <v>5</v>
      </c>
      <c r="E29" s="9">
        <v>4</v>
      </c>
      <c r="F29" s="9">
        <v>5</v>
      </c>
      <c r="G29" s="9">
        <v>3</v>
      </c>
      <c r="H29" s="9">
        <v>2</v>
      </c>
      <c r="I29" s="9">
        <v>4</v>
      </c>
      <c r="J29" s="1">
        <f t="shared" si="2"/>
        <v>30</v>
      </c>
      <c r="K29" s="1">
        <f t="shared" si="3"/>
        <v>68.75</v>
      </c>
      <c r="L29" s="9">
        <v>3</v>
      </c>
      <c r="M29" s="9">
        <v>2</v>
      </c>
      <c r="N29" s="9">
        <v>1</v>
      </c>
      <c r="O29" s="9">
        <v>2</v>
      </c>
      <c r="P29" s="9">
        <v>1</v>
      </c>
      <c r="Q29" s="9">
        <v>2</v>
      </c>
      <c r="R29" s="9">
        <v>1</v>
      </c>
      <c r="S29" s="9">
        <v>4</v>
      </c>
      <c r="T29" s="1">
        <f t="shared" si="4"/>
        <v>16</v>
      </c>
      <c r="U29" s="1">
        <f t="shared" si="5"/>
        <v>25</v>
      </c>
      <c r="V29" s="9">
        <v>2</v>
      </c>
      <c r="W29" s="9">
        <v>2</v>
      </c>
      <c r="X29" s="9">
        <v>1</v>
      </c>
      <c r="Y29" s="9">
        <v>1</v>
      </c>
      <c r="Z29" s="9">
        <v>1</v>
      </c>
      <c r="AA29" s="9">
        <v>1</v>
      </c>
      <c r="AB29" s="9">
        <v>3</v>
      </c>
      <c r="AC29" s="1">
        <f t="shared" si="10"/>
        <v>11</v>
      </c>
      <c r="AD29" s="1">
        <f t="shared" si="6"/>
        <v>14.285714285714285</v>
      </c>
      <c r="AE29" s="9">
        <v>3</v>
      </c>
      <c r="AF29" s="9">
        <v>2</v>
      </c>
      <c r="AG29" s="9">
        <v>3</v>
      </c>
      <c r="AH29" s="9">
        <v>3</v>
      </c>
      <c r="AI29" s="9">
        <v>1</v>
      </c>
      <c r="AJ29" s="9">
        <v>2</v>
      </c>
      <c r="AK29" s="9">
        <v>2</v>
      </c>
      <c r="AL29" s="9">
        <v>3</v>
      </c>
      <c r="AM29" s="1">
        <f t="shared" si="7"/>
        <v>19</v>
      </c>
      <c r="AN29" s="1">
        <f t="shared" si="8"/>
        <v>34.375</v>
      </c>
      <c r="AQ29" s="1">
        <f t="shared" si="0"/>
        <v>241.03571428571428</v>
      </c>
      <c r="AR29" s="1">
        <f t="shared" si="1"/>
        <v>236.55357142857139</v>
      </c>
      <c r="AS29" s="1">
        <f t="shared" si="9"/>
        <v>477.58928571428567</v>
      </c>
      <c r="AT29" s="1" t="s">
        <v>252</v>
      </c>
      <c r="AU29" s="20">
        <v>1</v>
      </c>
    </row>
    <row r="30" spans="1:47">
      <c r="A30" t="s">
        <v>29</v>
      </c>
      <c r="B30" s="9">
        <v>3</v>
      </c>
      <c r="C30" s="9">
        <v>3</v>
      </c>
      <c r="D30" s="9">
        <v>5</v>
      </c>
      <c r="E30" s="9">
        <v>4</v>
      </c>
      <c r="F30" s="9">
        <v>3</v>
      </c>
      <c r="G30" s="9">
        <v>3</v>
      </c>
      <c r="H30" s="9">
        <v>4</v>
      </c>
      <c r="I30" s="9">
        <v>4</v>
      </c>
      <c r="J30" s="1">
        <f t="shared" si="2"/>
        <v>29</v>
      </c>
      <c r="K30" s="1">
        <f t="shared" si="3"/>
        <v>65.625</v>
      </c>
      <c r="L30" s="9">
        <v>3</v>
      </c>
      <c r="M30" s="9">
        <v>2</v>
      </c>
      <c r="N30" s="9">
        <v>3</v>
      </c>
      <c r="O30" s="9">
        <v>3</v>
      </c>
      <c r="P30" s="9">
        <v>1</v>
      </c>
      <c r="Q30" s="9">
        <v>4</v>
      </c>
      <c r="R30" s="9">
        <v>2</v>
      </c>
      <c r="S30" s="9">
        <v>3</v>
      </c>
      <c r="T30" s="1">
        <f t="shared" si="4"/>
        <v>21</v>
      </c>
      <c r="U30" s="1">
        <f t="shared" si="5"/>
        <v>40.625</v>
      </c>
      <c r="V30" s="9">
        <v>1</v>
      </c>
      <c r="W30" s="9">
        <v>1</v>
      </c>
      <c r="X30" s="9">
        <v>3</v>
      </c>
      <c r="Y30" s="9">
        <v>1</v>
      </c>
      <c r="Z30" s="9">
        <v>1</v>
      </c>
      <c r="AA30" s="9">
        <v>1</v>
      </c>
      <c r="AB30" s="9">
        <v>1</v>
      </c>
      <c r="AC30" s="1">
        <f t="shared" si="10"/>
        <v>9</v>
      </c>
      <c r="AD30" s="1">
        <f t="shared" si="6"/>
        <v>7.1428571428571423</v>
      </c>
      <c r="AE30" s="9">
        <v>1</v>
      </c>
      <c r="AF30" s="9">
        <v>1</v>
      </c>
      <c r="AG30" s="9">
        <v>1</v>
      </c>
      <c r="AH30" s="9">
        <v>4</v>
      </c>
      <c r="AI30" s="9">
        <v>1</v>
      </c>
      <c r="AJ30" s="9">
        <v>1</v>
      </c>
      <c r="AK30" s="9">
        <v>2</v>
      </c>
      <c r="AL30" s="9">
        <v>2</v>
      </c>
      <c r="AM30" s="1">
        <f t="shared" si="7"/>
        <v>13</v>
      </c>
      <c r="AN30" s="1">
        <f t="shared" si="8"/>
        <v>15.625</v>
      </c>
      <c r="AQ30" s="1">
        <f t="shared" si="0"/>
        <v>244.39285714285714</v>
      </c>
      <c r="AR30" s="1">
        <f t="shared" si="1"/>
        <v>164.375</v>
      </c>
      <c r="AS30" s="1">
        <f t="shared" si="9"/>
        <v>408.76785714285711</v>
      </c>
      <c r="AT30" s="1" t="s">
        <v>252</v>
      </c>
      <c r="AU30" s="20">
        <v>1</v>
      </c>
    </row>
    <row r="31" spans="1:47">
      <c r="A31" t="s">
        <v>30</v>
      </c>
      <c r="B31" s="9">
        <v>2</v>
      </c>
      <c r="C31" s="9">
        <v>2</v>
      </c>
      <c r="D31" s="9">
        <v>2</v>
      </c>
      <c r="E31" s="9">
        <v>3</v>
      </c>
      <c r="F31" s="9">
        <v>1</v>
      </c>
      <c r="G31" s="9">
        <v>3</v>
      </c>
      <c r="H31" s="9">
        <v>2</v>
      </c>
      <c r="I31" s="9">
        <v>2</v>
      </c>
      <c r="J31" s="1">
        <f t="shared" si="2"/>
        <v>17</v>
      </c>
      <c r="K31" s="1">
        <f t="shared" si="3"/>
        <v>28.125</v>
      </c>
      <c r="L31" s="9">
        <v>4</v>
      </c>
      <c r="M31" s="9">
        <v>2</v>
      </c>
      <c r="N31" s="9">
        <v>3</v>
      </c>
      <c r="O31" s="9">
        <v>2</v>
      </c>
      <c r="P31" s="9">
        <v>4</v>
      </c>
      <c r="Q31" s="9">
        <v>5</v>
      </c>
      <c r="R31" s="9">
        <v>4</v>
      </c>
      <c r="S31" s="9">
        <v>4</v>
      </c>
      <c r="T31" s="1">
        <f t="shared" si="4"/>
        <v>28</v>
      </c>
      <c r="U31" s="1">
        <f t="shared" si="5"/>
        <v>62.5</v>
      </c>
      <c r="V31" s="9">
        <v>5</v>
      </c>
      <c r="W31" s="9">
        <v>5</v>
      </c>
      <c r="X31" s="9">
        <v>5</v>
      </c>
      <c r="Y31" s="9">
        <v>3</v>
      </c>
      <c r="Z31" s="9">
        <v>4</v>
      </c>
      <c r="AA31" s="9">
        <v>2</v>
      </c>
      <c r="AB31" s="9">
        <v>3</v>
      </c>
      <c r="AC31" s="1">
        <f t="shared" si="10"/>
        <v>27</v>
      </c>
      <c r="AD31" s="1">
        <f t="shared" si="6"/>
        <v>71.428571428571431</v>
      </c>
      <c r="AE31" s="9">
        <v>2</v>
      </c>
      <c r="AF31" s="9">
        <v>3</v>
      </c>
      <c r="AG31" s="9">
        <v>3</v>
      </c>
      <c r="AH31" s="9">
        <v>2</v>
      </c>
      <c r="AI31" s="9">
        <v>2</v>
      </c>
      <c r="AJ31" s="9">
        <v>2</v>
      </c>
      <c r="AK31" s="9">
        <v>1</v>
      </c>
      <c r="AL31" s="9">
        <v>4</v>
      </c>
      <c r="AM31" s="1">
        <f t="shared" si="7"/>
        <v>19</v>
      </c>
      <c r="AN31" s="1">
        <f t="shared" si="8"/>
        <v>34.375</v>
      </c>
      <c r="AQ31" s="1">
        <f t="shared" si="0"/>
        <v>325.05357142857144</v>
      </c>
      <c r="AR31" s="1">
        <f t="shared" si="1"/>
        <v>351.21428571428572</v>
      </c>
      <c r="AS31" s="1">
        <f t="shared" si="9"/>
        <v>676.26785714285711</v>
      </c>
      <c r="AT31" s="1" t="s">
        <v>252</v>
      </c>
      <c r="AU31" s="20">
        <v>1</v>
      </c>
    </row>
    <row r="32" spans="1:47">
      <c r="A32" t="s">
        <v>31</v>
      </c>
      <c r="B32" s="9">
        <v>4</v>
      </c>
      <c r="C32" s="9">
        <v>4</v>
      </c>
      <c r="D32" s="9">
        <v>4</v>
      </c>
      <c r="E32" s="9">
        <v>3</v>
      </c>
      <c r="F32" s="9">
        <v>3</v>
      </c>
      <c r="G32" s="9">
        <v>3</v>
      </c>
      <c r="H32" s="9">
        <v>3</v>
      </c>
      <c r="I32" s="9">
        <v>5</v>
      </c>
      <c r="J32" s="1">
        <f t="shared" si="2"/>
        <v>29</v>
      </c>
      <c r="K32" s="1">
        <f t="shared" si="3"/>
        <v>65.625</v>
      </c>
      <c r="L32" s="9">
        <v>2</v>
      </c>
      <c r="M32" s="9">
        <v>3</v>
      </c>
      <c r="N32" s="9">
        <v>1</v>
      </c>
      <c r="O32" s="9">
        <v>1</v>
      </c>
      <c r="P32" s="9">
        <v>1</v>
      </c>
      <c r="Q32" s="9">
        <v>4</v>
      </c>
      <c r="R32" s="9">
        <v>1</v>
      </c>
      <c r="S32" s="9">
        <v>4</v>
      </c>
      <c r="T32" s="1">
        <f t="shared" si="4"/>
        <v>17</v>
      </c>
      <c r="U32" s="1">
        <f t="shared" si="5"/>
        <v>28.125</v>
      </c>
      <c r="V32" s="9">
        <v>4</v>
      </c>
      <c r="W32" s="9">
        <v>1</v>
      </c>
      <c r="X32" s="9">
        <v>3</v>
      </c>
      <c r="Y32" s="9">
        <v>1</v>
      </c>
      <c r="Z32" s="9">
        <v>1</v>
      </c>
      <c r="AA32" s="9">
        <v>1</v>
      </c>
      <c r="AB32" s="9">
        <v>1</v>
      </c>
      <c r="AC32" s="1">
        <f t="shared" si="10"/>
        <v>12</v>
      </c>
      <c r="AD32" s="1">
        <f t="shared" si="6"/>
        <v>17.857142857142858</v>
      </c>
      <c r="AE32" s="9">
        <v>1</v>
      </c>
      <c r="AF32" s="9">
        <v>4</v>
      </c>
      <c r="AG32" s="9">
        <v>3</v>
      </c>
      <c r="AH32" s="9">
        <v>3</v>
      </c>
      <c r="AI32" s="9">
        <v>3</v>
      </c>
      <c r="AJ32" s="9">
        <v>1</v>
      </c>
      <c r="AK32" s="9">
        <v>2</v>
      </c>
      <c r="AL32" s="9">
        <v>4</v>
      </c>
      <c r="AM32" s="1">
        <f t="shared" si="7"/>
        <v>21</v>
      </c>
      <c r="AN32" s="1">
        <f t="shared" si="8"/>
        <v>40.625</v>
      </c>
      <c r="AQ32" s="1">
        <f t="shared" si="0"/>
        <v>248.60714285714286</v>
      </c>
      <c r="AR32" s="1">
        <f t="shared" si="1"/>
        <v>245.25</v>
      </c>
      <c r="AS32" s="1">
        <f t="shared" si="9"/>
        <v>493.85714285714289</v>
      </c>
      <c r="AT32" s="1" t="s">
        <v>252</v>
      </c>
      <c r="AU32" s="20">
        <v>1</v>
      </c>
    </row>
    <row r="33" spans="1:47">
      <c r="A33" t="s">
        <v>32</v>
      </c>
      <c r="B33" s="9">
        <v>4</v>
      </c>
      <c r="C33" s="9">
        <v>3</v>
      </c>
      <c r="D33" s="9">
        <v>5</v>
      </c>
      <c r="E33" s="9">
        <v>3</v>
      </c>
      <c r="F33" s="9">
        <v>4</v>
      </c>
      <c r="G33" s="9">
        <v>5</v>
      </c>
      <c r="H33" s="9">
        <v>4</v>
      </c>
      <c r="I33" s="9">
        <v>4</v>
      </c>
      <c r="J33" s="1">
        <f t="shared" si="2"/>
        <v>32</v>
      </c>
      <c r="K33" s="1">
        <f t="shared" si="3"/>
        <v>75</v>
      </c>
      <c r="L33" s="9">
        <v>2</v>
      </c>
      <c r="M33" s="9">
        <v>2</v>
      </c>
      <c r="N33" s="9">
        <v>1</v>
      </c>
      <c r="O33" s="9">
        <v>3</v>
      </c>
      <c r="P33" s="9">
        <v>1</v>
      </c>
      <c r="Q33" s="9">
        <v>1</v>
      </c>
      <c r="R33" s="9">
        <v>1</v>
      </c>
      <c r="S33" s="9">
        <v>1</v>
      </c>
      <c r="T33" s="1">
        <f t="shared" si="4"/>
        <v>12</v>
      </c>
      <c r="U33" s="1">
        <f t="shared" si="5"/>
        <v>12.5</v>
      </c>
      <c r="V33" s="9">
        <v>4</v>
      </c>
      <c r="W33" s="9">
        <v>2</v>
      </c>
      <c r="X33" s="9">
        <v>1</v>
      </c>
      <c r="Y33" s="9">
        <v>1</v>
      </c>
      <c r="Z33" s="9">
        <v>1</v>
      </c>
      <c r="AA33" s="9">
        <v>1</v>
      </c>
      <c r="AB33" s="9">
        <v>2</v>
      </c>
      <c r="AC33" s="1">
        <f t="shared" si="10"/>
        <v>12</v>
      </c>
      <c r="AD33" s="1">
        <f t="shared" si="6"/>
        <v>17.857142857142858</v>
      </c>
      <c r="AF33" s="9">
        <v>3</v>
      </c>
      <c r="AG33" s="9">
        <v>3</v>
      </c>
      <c r="AH33" s="9">
        <v>2</v>
      </c>
      <c r="AI33" s="9">
        <v>3</v>
      </c>
      <c r="AJ33" s="9">
        <v>4</v>
      </c>
      <c r="AK33" s="9">
        <v>3</v>
      </c>
      <c r="AL33" s="9">
        <v>1</v>
      </c>
      <c r="AM33" s="1">
        <f t="shared" si="7"/>
        <v>19</v>
      </c>
      <c r="AN33" s="1">
        <f t="shared" si="8"/>
        <v>34.375</v>
      </c>
      <c r="AQ33" s="1">
        <f t="shared" si="0"/>
        <v>236.35714285714286</v>
      </c>
      <c r="AR33" s="1">
        <f t="shared" si="1"/>
        <v>195.89285714285711</v>
      </c>
      <c r="AS33" s="1">
        <f t="shared" si="9"/>
        <v>432.25</v>
      </c>
      <c r="AT33" s="1" t="s">
        <v>253</v>
      </c>
      <c r="AU33" s="20">
        <v>0</v>
      </c>
    </row>
    <row r="34" spans="1:47">
      <c r="A34" t="s">
        <v>33</v>
      </c>
      <c r="B34" s="9">
        <v>2</v>
      </c>
      <c r="C34" s="9">
        <v>2</v>
      </c>
      <c r="D34" s="9">
        <v>4</v>
      </c>
      <c r="E34" s="9">
        <v>2</v>
      </c>
      <c r="F34" s="9">
        <v>5</v>
      </c>
      <c r="G34" s="9">
        <v>4</v>
      </c>
      <c r="H34" s="9">
        <v>2</v>
      </c>
      <c r="I34" s="9">
        <v>4</v>
      </c>
      <c r="J34" s="1">
        <f t="shared" si="2"/>
        <v>25</v>
      </c>
      <c r="K34" s="1">
        <f t="shared" si="3"/>
        <v>53.125</v>
      </c>
      <c r="L34" s="9">
        <v>4</v>
      </c>
      <c r="M34" s="9">
        <v>2</v>
      </c>
      <c r="N34" s="9">
        <v>3</v>
      </c>
      <c r="O34" s="9">
        <v>3</v>
      </c>
      <c r="P34" s="9">
        <v>2</v>
      </c>
      <c r="Q34" s="9">
        <v>3</v>
      </c>
      <c r="R34" s="9">
        <v>2</v>
      </c>
      <c r="S34" s="9">
        <v>3</v>
      </c>
      <c r="T34" s="1">
        <f t="shared" si="4"/>
        <v>22</v>
      </c>
      <c r="U34" s="1">
        <f t="shared" si="5"/>
        <v>43.75</v>
      </c>
      <c r="V34" s="9">
        <v>2</v>
      </c>
      <c r="W34" s="9">
        <v>2</v>
      </c>
      <c r="X34" s="9">
        <v>2</v>
      </c>
      <c r="Y34" s="9">
        <v>2</v>
      </c>
      <c r="Z34" s="9">
        <v>2</v>
      </c>
      <c r="AA34" s="9">
        <v>1</v>
      </c>
      <c r="AB34" s="9">
        <v>1</v>
      </c>
      <c r="AC34" s="1">
        <f t="shared" si="10"/>
        <v>12</v>
      </c>
      <c r="AD34" s="1">
        <f t="shared" si="6"/>
        <v>17.857142857142858</v>
      </c>
      <c r="AE34" s="9">
        <v>2</v>
      </c>
      <c r="AF34" s="9">
        <v>3</v>
      </c>
      <c r="AG34" s="9">
        <v>3</v>
      </c>
      <c r="AH34" s="9">
        <v>3</v>
      </c>
      <c r="AI34" s="9">
        <v>2</v>
      </c>
      <c r="AJ34" s="9">
        <v>2</v>
      </c>
      <c r="AK34" s="9">
        <v>3</v>
      </c>
      <c r="AL34" s="9">
        <v>2</v>
      </c>
      <c r="AM34" s="1">
        <f t="shared" si="7"/>
        <v>20</v>
      </c>
      <c r="AN34" s="1">
        <f t="shared" si="8"/>
        <v>37.5</v>
      </c>
      <c r="AQ34" s="1">
        <f t="shared" si="0"/>
        <v>252.73214285714286</v>
      </c>
      <c r="AR34" s="1">
        <f t="shared" si="1"/>
        <v>228.10714285714286</v>
      </c>
      <c r="AS34" s="1">
        <f t="shared" si="9"/>
        <v>480.83928571428572</v>
      </c>
      <c r="AT34" s="1" t="s">
        <v>252</v>
      </c>
      <c r="AU34" s="20">
        <v>1</v>
      </c>
    </row>
    <row r="35" spans="1:47">
      <c r="A35" t="s">
        <v>34</v>
      </c>
      <c r="B35" s="9">
        <v>3</v>
      </c>
      <c r="C35" s="9">
        <v>3</v>
      </c>
      <c r="D35" s="9">
        <v>4</v>
      </c>
      <c r="E35" s="9">
        <v>5</v>
      </c>
      <c r="F35" s="9">
        <v>3</v>
      </c>
      <c r="G35" s="9">
        <v>4</v>
      </c>
      <c r="H35" s="9">
        <v>5</v>
      </c>
      <c r="I35" s="9">
        <v>3</v>
      </c>
      <c r="J35" s="1">
        <f t="shared" si="2"/>
        <v>30</v>
      </c>
      <c r="K35" s="1">
        <f t="shared" si="3"/>
        <v>68.75</v>
      </c>
      <c r="L35" s="9">
        <v>3</v>
      </c>
      <c r="M35" s="9">
        <v>2</v>
      </c>
      <c r="N35" s="9">
        <v>2</v>
      </c>
      <c r="O35" s="9">
        <v>3</v>
      </c>
      <c r="P35" s="9">
        <v>2</v>
      </c>
      <c r="Q35" s="9">
        <v>3</v>
      </c>
      <c r="R35" s="9">
        <v>2</v>
      </c>
      <c r="S35" s="9">
        <v>2</v>
      </c>
      <c r="T35" s="1">
        <f t="shared" si="4"/>
        <v>19</v>
      </c>
      <c r="U35" s="1">
        <f t="shared" si="5"/>
        <v>34.375</v>
      </c>
      <c r="V35" s="9">
        <v>3</v>
      </c>
      <c r="W35" s="9">
        <v>2</v>
      </c>
      <c r="X35" s="9">
        <v>3</v>
      </c>
      <c r="Y35" s="9">
        <v>1</v>
      </c>
      <c r="Z35" s="9">
        <v>1</v>
      </c>
      <c r="AA35" s="9">
        <v>3</v>
      </c>
      <c r="AB35" s="9">
        <v>2</v>
      </c>
      <c r="AC35" s="1">
        <f t="shared" si="10"/>
        <v>15</v>
      </c>
      <c r="AD35" s="1">
        <f t="shared" si="6"/>
        <v>28.571428571428569</v>
      </c>
      <c r="AE35" s="9">
        <v>2</v>
      </c>
      <c r="AF35" s="9">
        <v>2</v>
      </c>
      <c r="AG35" s="9">
        <v>3</v>
      </c>
      <c r="AH35" s="9">
        <v>3</v>
      </c>
      <c r="AI35" s="9">
        <v>2</v>
      </c>
      <c r="AJ35" s="9">
        <v>2</v>
      </c>
      <c r="AK35" s="9">
        <v>1</v>
      </c>
      <c r="AL35" s="9">
        <v>2</v>
      </c>
      <c r="AM35" s="1">
        <f t="shared" si="7"/>
        <v>17</v>
      </c>
      <c r="AN35" s="1">
        <f t="shared" si="8"/>
        <v>28.125</v>
      </c>
      <c r="AQ35" s="1">
        <f t="shared" si="0"/>
        <v>276.69642857142856</v>
      </c>
      <c r="AR35" s="1">
        <f t="shared" si="1"/>
        <v>165.35714285714286</v>
      </c>
      <c r="AS35" s="1">
        <f t="shared" si="9"/>
        <v>442.05357142857144</v>
      </c>
      <c r="AT35" s="1" t="s">
        <v>253</v>
      </c>
      <c r="AU35" s="20">
        <v>0</v>
      </c>
    </row>
    <row r="36" spans="1:47">
      <c r="A36" t="s">
        <v>35</v>
      </c>
      <c r="B36" s="9">
        <v>4</v>
      </c>
      <c r="C36" s="9">
        <v>3</v>
      </c>
      <c r="D36" s="9">
        <v>5</v>
      </c>
      <c r="E36" s="9">
        <v>5</v>
      </c>
      <c r="F36" s="9">
        <v>3</v>
      </c>
      <c r="G36" s="9">
        <v>2</v>
      </c>
      <c r="H36" s="9">
        <v>5</v>
      </c>
      <c r="I36" s="9">
        <v>1</v>
      </c>
      <c r="J36" s="1">
        <f t="shared" si="2"/>
        <v>28</v>
      </c>
      <c r="K36" s="1">
        <f t="shared" si="3"/>
        <v>62.5</v>
      </c>
      <c r="L36" s="9">
        <v>2</v>
      </c>
      <c r="M36" s="9">
        <v>2</v>
      </c>
      <c r="N36" s="9">
        <v>5</v>
      </c>
      <c r="O36" s="9">
        <v>2</v>
      </c>
      <c r="P36" s="9">
        <v>2</v>
      </c>
      <c r="Q36" s="9">
        <v>2</v>
      </c>
      <c r="R36" s="9">
        <v>1</v>
      </c>
      <c r="S36" s="9">
        <v>2</v>
      </c>
      <c r="T36" s="1">
        <f t="shared" si="4"/>
        <v>18</v>
      </c>
      <c r="U36" s="1">
        <f t="shared" si="5"/>
        <v>31.25</v>
      </c>
      <c r="V36" s="9">
        <v>3</v>
      </c>
      <c r="W36" s="9">
        <v>2</v>
      </c>
      <c r="X36" s="9">
        <v>2</v>
      </c>
      <c r="Y36" s="9">
        <v>1</v>
      </c>
      <c r="Z36" s="9">
        <v>2</v>
      </c>
      <c r="AA36" s="9">
        <v>1</v>
      </c>
      <c r="AB36" s="9">
        <v>2</v>
      </c>
      <c r="AC36" s="1">
        <f t="shared" si="10"/>
        <v>13</v>
      </c>
      <c r="AD36" s="1">
        <f t="shared" si="6"/>
        <v>21.428571428571427</v>
      </c>
      <c r="AE36" s="9">
        <v>3</v>
      </c>
      <c r="AF36" s="9">
        <v>3</v>
      </c>
      <c r="AG36" s="9">
        <v>1</v>
      </c>
      <c r="AH36" s="9">
        <v>2</v>
      </c>
      <c r="AI36" s="9">
        <v>2</v>
      </c>
      <c r="AJ36" s="9">
        <v>3</v>
      </c>
      <c r="AK36" s="9">
        <v>4</v>
      </c>
      <c r="AL36" s="9">
        <v>4</v>
      </c>
      <c r="AM36" s="1">
        <f t="shared" si="7"/>
        <v>22</v>
      </c>
      <c r="AN36" s="1">
        <f t="shared" si="8"/>
        <v>43.75</v>
      </c>
      <c r="AQ36" s="1">
        <f t="shared" si="0"/>
        <v>255.17857142857142</v>
      </c>
      <c r="AR36" s="1">
        <f t="shared" si="1"/>
        <v>255.28571428571428</v>
      </c>
      <c r="AS36" s="1">
        <f t="shared" si="9"/>
        <v>510.46428571428567</v>
      </c>
      <c r="AT36" s="1" t="s">
        <v>252</v>
      </c>
      <c r="AU36" s="20">
        <v>1</v>
      </c>
    </row>
    <row r="37" spans="1:47">
      <c r="A37" t="s">
        <v>36</v>
      </c>
      <c r="B37" s="9">
        <v>4</v>
      </c>
      <c r="C37" s="9">
        <v>3</v>
      </c>
      <c r="D37" s="9">
        <v>5</v>
      </c>
      <c r="E37" s="9">
        <v>4</v>
      </c>
      <c r="F37" s="9">
        <v>5</v>
      </c>
      <c r="G37" s="9">
        <v>5</v>
      </c>
      <c r="H37" s="9">
        <v>3</v>
      </c>
      <c r="I37" s="9">
        <v>4</v>
      </c>
      <c r="J37" s="1">
        <f t="shared" si="2"/>
        <v>33</v>
      </c>
      <c r="K37" s="1">
        <f t="shared" si="3"/>
        <v>78.125</v>
      </c>
      <c r="L37" s="9">
        <v>2</v>
      </c>
      <c r="M37" s="9">
        <v>1</v>
      </c>
      <c r="N37" s="9">
        <v>2</v>
      </c>
      <c r="O37" s="9">
        <v>2</v>
      </c>
      <c r="P37" s="9">
        <v>2</v>
      </c>
      <c r="Q37" s="9">
        <v>3</v>
      </c>
      <c r="R37" s="9">
        <v>1</v>
      </c>
      <c r="S37" s="9">
        <v>4</v>
      </c>
      <c r="T37" s="1">
        <f t="shared" si="4"/>
        <v>17</v>
      </c>
      <c r="U37" s="1">
        <f t="shared" si="5"/>
        <v>28.125</v>
      </c>
      <c r="V37" s="9">
        <v>3</v>
      </c>
      <c r="W37" s="9">
        <v>4</v>
      </c>
      <c r="X37" s="9">
        <v>3</v>
      </c>
      <c r="Y37" s="9">
        <v>1</v>
      </c>
      <c r="Z37" s="9">
        <v>2</v>
      </c>
      <c r="AA37" s="9">
        <v>2</v>
      </c>
      <c r="AB37" s="9">
        <v>4</v>
      </c>
      <c r="AC37" s="1">
        <f t="shared" si="10"/>
        <v>19</v>
      </c>
      <c r="AD37" s="1">
        <f t="shared" si="6"/>
        <v>42.857142857142854</v>
      </c>
      <c r="AE37" s="9">
        <v>2</v>
      </c>
      <c r="AF37" s="9">
        <v>2</v>
      </c>
      <c r="AG37" s="9">
        <v>3</v>
      </c>
      <c r="AH37" s="9">
        <v>3</v>
      </c>
      <c r="AI37" s="9">
        <v>2</v>
      </c>
      <c r="AJ37" s="9">
        <v>2</v>
      </c>
      <c r="AK37" s="9">
        <v>3</v>
      </c>
      <c r="AL37" s="9">
        <v>4</v>
      </c>
      <c r="AM37" s="1">
        <f t="shared" si="7"/>
        <v>21</v>
      </c>
      <c r="AN37" s="1">
        <f t="shared" si="8"/>
        <v>40.625</v>
      </c>
      <c r="AQ37" s="1">
        <f t="shared" ref="AQ37:AQ68" si="11">SUM(B37:AL37)</f>
        <v>308.10714285714283</v>
      </c>
      <c r="AR37" s="1">
        <f t="shared" ref="AR37:AR68" si="12">SUM(B145:AS145)</f>
        <v>249.39285714285711</v>
      </c>
      <c r="AS37" s="1">
        <f t="shared" si="9"/>
        <v>557.5</v>
      </c>
      <c r="AT37" s="1" t="s">
        <v>252</v>
      </c>
      <c r="AU37" s="20">
        <v>1</v>
      </c>
    </row>
    <row r="38" spans="1:47">
      <c r="A38" t="s">
        <v>37</v>
      </c>
      <c r="B38" s="9">
        <v>4</v>
      </c>
      <c r="C38" s="9">
        <v>3</v>
      </c>
      <c r="D38" s="9">
        <v>4</v>
      </c>
      <c r="E38" s="9">
        <v>4</v>
      </c>
      <c r="F38" s="9">
        <v>3</v>
      </c>
      <c r="G38" s="9">
        <v>4</v>
      </c>
      <c r="H38" s="9">
        <v>3</v>
      </c>
      <c r="I38" s="9">
        <v>4</v>
      </c>
      <c r="J38" s="1">
        <f t="shared" si="2"/>
        <v>29</v>
      </c>
      <c r="K38" s="1">
        <f t="shared" si="3"/>
        <v>65.625</v>
      </c>
      <c r="L38" s="9">
        <v>3</v>
      </c>
      <c r="M38" s="9">
        <v>1</v>
      </c>
      <c r="N38" s="9">
        <v>1</v>
      </c>
      <c r="O38" s="9">
        <v>1</v>
      </c>
      <c r="P38" s="9">
        <v>1</v>
      </c>
      <c r="Q38" s="9">
        <v>4</v>
      </c>
      <c r="R38" s="9">
        <v>2</v>
      </c>
      <c r="S38" s="9">
        <v>1</v>
      </c>
      <c r="T38" s="1">
        <f t="shared" si="4"/>
        <v>14</v>
      </c>
      <c r="U38" s="1">
        <f t="shared" si="5"/>
        <v>18.75</v>
      </c>
      <c r="V38" s="9">
        <v>3</v>
      </c>
      <c r="W38" s="9">
        <v>1</v>
      </c>
      <c r="X38" s="9">
        <v>2</v>
      </c>
      <c r="Y38" s="9">
        <v>4</v>
      </c>
      <c r="Z38" s="9">
        <v>3</v>
      </c>
      <c r="AA38" s="9">
        <v>2</v>
      </c>
      <c r="AB38" s="9">
        <v>1</v>
      </c>
      <c r="AC38" s="1">
        <f t="shared" si="10"/>
        <v>16</v>
      </c>
      <c r="AD38" s="1">
        <f t="shared" si="6"/>
        <v>32.142857142857146</v>
      </c>
      <c r="AE38" s="9">
        <v>1</v>
      </c>
      <c r="AF38" s="9">
        <v>3</v>
      </c>
      <c r="AG38" s="9">
        <v>2</v>
      </c>
      <c r="AH38" s="9">
        <v>3</v>
      </c>
      <c r="AI38" s="9">
        <v>4</v>
      </c>
      <c r="AJ38" s="9">
        <v>2</v>
      </c>
      <c r="AK38" s="9">
        <v>2</v>
      </c>
      <c r="AL38" s="9">
        <v>1</v>
      </c>
      <c r="AM38" s="1">
        <f t="shared" si="7"/>
        <v>18</v>
      </c>
      <c r="AN38" s="1">
        <f t="shared" si="8"/>
        <v>31.25</v>
      </c>
      <c r="AQ38" s="1">
        <f t="shared" si="11"/>
        <v>252.51785714285714</v>
      </c>
      <c r="AR38" s="1">
        <f t="shared" si="12"/>
        <v>214.73214285714286</v>
      </c>
      <c r="AS38" s="1">
        <f t="shared" si="9"/>
        <v>467.25</v>
      </c>
      <c r="AT38" s="1" t="s">
        <v>253</v>
      </c>
      <c r="AU38" s="20">
        <v>0</v>
      </c>
    </row>
    <row r="39" spans="1:47">
      <c r="A39" t="s">
        <v>38</v>
      </c>
      <c r="B39" s="9">
        <v>2</v>
      </c>
      <c r="C39" s="9">
        <v>2</v>
      </c>
      <c r="D39" s="9">
        <v>3</v>
      </c>
      <c r="E39" s="9">
        <v>2</v>
      </c>
      <c r="F39" s="9">
        <v>3</v>
      </c>
      <c r="G39" s="9">
        <v>4</v>
      </c>
      <c r="H39" s="9">
        <v>3</v>
      </c>
      <c r="I39" s="9">
        <v>3</v>
      </c>
      <c r="J39" s="1">
        <f t="shared" si="2"/>
        <v>22</v>
      </c>
      <c r="K39" s="1">
        <f t="shared" si="3"/>
        <v>43.75</v>
      </c>
      <c r="L39" s="9">
        <v>4</v>
      </c>
      <c r="M39" s="9">
        <v>4</v>
      </c>
      <c r="N39" s="9">
        <v>3</v>
      </c>
      <c r="O39" s="9">
        <v>4</v>
      </c>
      <c r="P39" s="9">
        <v>2</v>
      </c>
      <c r="Q39" s="9">
        <v>3</v>
      </c>
      <c r="R39" s="9">
        <v>2</v>
      </c>
      <c r="S39" s="9">
        <v>4</v>
      </c>
      <c r="T39" s="1">
        <f t="shared" si="4"/>
        <v>26</v>
      </c>
      <c r="U39" s="1">
        <f t="shared" si="5"/>
        <v>56.25</v>
      </c>
      <c r="V39" s="9">
        <v>4</v>
      </c>
      <c r="W39" s="9">
        <v>2</v>
      </c>
      <c r="X39" s="9">
        <v>3</v>
      </c>
      <c r="Y39" s="9">
        <v>2</v>
      </c>
      <c r="Z39" s="9">
        <v>2</v>
      </c>
      <c r="AA39" s="9">
        <v>2</v>
      </c>
      <c r="AB39" s="9">
        <v>2</v>
      </c>
      <c r="AC39" s="1">
        <f t="shared" si="10"/>
        <v>17</v>
      </c>
      <c r="AD39" s="1">
        <f t="shared" si="6"/>
        <v>35.714285714285715</v>
      </c>
      <c r="AE39" s="9">
        <v>1</v>
      </c>
      <c r="AF39" s="9">
        <v>2</v>
      </c>
      <c r="AG39" s="9">
        <v>4</v>
      </c>
      <c r="AH39" s="9">
        <v>2</v>
      </c>
      <c r="AI39" s="9">
        <v>2</v>
      </c>
      <c r="AJ39" s="9">
        <v>3</v>
      </c>
      <c r="AK39" s="9">
        <v>3</v>
      </c>
      <c r="AL39" s="9">
        <v>5</v>
      </c>
      <c r="AM39" s="1">
        <f t="shared" si="7"/>
        <v>22</v>
      </c>
      <c r="AN39" s="1">
        <f t="shared" si="8"/>
        <v>43.75</v>
      </c>
      <c r="AQ39" s="1">
        <f t="shared" si="11"/>
        <v>287.71428571428572</v>
      </c>
      <c r="AR39" s="1">
        <f t="shared" si="12"/>
        <v>233.55357142857142</v>
      </c>
      <c r="AS39" s="1">
        <f t="shared" si="9"/>
        <v>521.26785714285711</v>
      </c>
      <c r="AT39" s="1" t="s">
        <v>252</v>
      </c>
      <c r="AU39" s="20">
        <v>1</v>
      </c>
    </row>
    <row r="40" spans="1:47">
      <c r="A40" t="s">
        <v>39</v>
      </c>
      <c r="B40" s="9">
        <v>2</v>
      </c>
      <c r="C40" s="9">
        <v>2</v>
      </c>
      <c r="D40" s="9">
        <v>5</v>
      </c>
      <c r="E40" s="9">
        <v>4</v>
      </c>
      <c r="F40" s="9">
        <v>5</v>
      </c>
      <c r="G40" s="9">
        <v>4</v>
      </c>
      <c r="H40" s="9">
        <v>2</v>
      </c>
      <c r="I40" s="9">
        <v>3</v>
      </c>
      <c r="J40" s="1">
        <f t="shared" si="2"/>
        <v>27</v>
      </c>
      <c r="K40" s="1">
        <f t="shared" si="3"/>
        <v>59.375</v>
      </c>
      <c r="L40" s="9">
        <v>4</v>
      </c>
      <c r="M40" s="9">
        <v>2</v>
      </c>
      <c r="N40" s="9">
        <v>2</v>
      </c>
      <c r="O40" s="9">
        <v>4</v>
      </c>
      <c r="P40" s="9">
        <v>2</v>
      </c>
      <c r="Q40" s="9">
        <v>1</v>
      </c>
      <c r="R40" s="9">
        <v>1</v>
      </c>
      <c r="S40" s="9">
        <v>1</v>
      </c>
      <c r="T40" s="1">
        <f t="shared" si="4"/>
        <v>17</v>
      </c>
      <c r="U40" s="1">
        <f t="shared" si="5"/>
        <v>28.125</v>
      </c>
      <c r="V40" s="9">
        <v>5</v>
      </c>
      <c r="W40" s="9">
        <v>5</v>
      </c>
      <c r="X40" s="9">
        <v>3</v>
      </c>
      <c r="Y40" s="9">
        <v>2</v>
      </c>
      <c r="Z40" s="9">
        <v>2</v>
      </c>
      <c r="AA40" s="9">
        <v>3</v>
      </c>
      <c r="AB40" s="9">
        <v>4</v>
      </c>
      <c r="AC40" s="1">
        <f t="shared" si="10"/>
        <v>24</v>
      </c>
      <c r="AD40" s="1">
        <f t="shared" si="6"/>
        <v>60.714285714285708</v>
      </c>
      <c r="AE40" s="9">
        <v>1</v>
      </c>
      <c r="AF40" s="9">
        <v>2</v>
      </c>
      <c r="AG40" s="9">
        <v>3</v>
      </c>
      <c r="AH40" s="9">
        <v>4</v>
      </c>
      <c r="AI40" s="9">
        <v>2</v>
      </c>
      <c r="AJ40" s="9">
        <v>2</v>
      </c>
      <c r="AK40" s="9">
        <v>1</v>
      </c>
      <c r="AL40" s="9">
        <v>1</v>
      </c>
      <c r="AM40" s="1">
        <f t="shared" si="7"/>
        <v>16</v>
      </c>
      <c r="AN40" s="1">
        <f t="shared" si="8"/>
        <v>25</v>
      </c>
      <c r="AQ40" s="1">
        <f t="shared" si="11"/>
        <v>300.21428571428572</v>
      </c>
      <c r="AR40" s="1">
        <f t="shared" si="12"/>
        <v>196.55357142857142</v>
      </c>
      <c r="AS40" s="1">
        <f t="shared" si="9"/>
        <v>496.76785714285711</v>
      </c>
      <c r="AT40" s="1" t="s">
        <v>252</v>
      </c>
      <c r="AU40" s="20">
        <v>1</v>
      </c>
    </row>
    <row r="41" spans="1:47">
      <c r="A41" t="s">
        <v>40</v>
      </c>
      <c r="B41" s="9">
        <v>3</v>
      </c>
      <c r="C41" s="9">
        <v>4</v>
      </c>
      <c r="D41" s="9">
        <v>4</v>
      </c>
      <c r="E41" s="9">
        <v>5</v>
      </c>
      <c r="F41" s="9">
        <v>5</v>
      </c>
      <c r="G41" s="9">
        <v>3</v>
      </c>
      <c r="H41" s="9">
        <v>4</v>
      </c>
      <c r="I41" s="9">
        <v>4</v>
      </c>
      <c r="J41" s="1">
        <f t="shared" si="2"/>
        <v>32</v>
      </c>
      <c r="K41" s="1">
        <f t="shared" si="3"/>
        <v>75</v>
      </c>
      <c r="L41" s="9">
        <v>2</v>
      </c>
      <c r="M41" s="9">
        <v>1</v>
      </c>
      <c r="N41" s="9">
        <v>1</v>
      </c>
      <c r="O41" s="9">
        <v>1</v>
      </c>
      <c r="P41" s="9">
        <v>2</v>
      </c>
      <c r="Q41" s="9">
        <v>1</v>
      </c>
      <c r="R41" s="9">
        <v>1</v>
      </c>
      <c r="S41" s="9">
        <v>1</v>
      </c>
      <c r="T41" s="1">
        <f t="shared" si="4"/>
        <v>10</v>
      </c>
      <c r="U41" s="1">
        <f t="shared" si="5"/>
        <v>6.25</v>
      </c>
      <c r="V41" s="9">
        <v>1</v>
      </c>
      <c r="W41" s="9">
        <v>2</v>
      </c>
      <c r="X41" s="9">
        <v>2</v>
      </c>
      <c r="Y41" s="9">
        <v>1</v>
      </c>
      <c r="Z41" s="9">
        <v>1</v>
      </c>
      <c r="AA41" s="9">
        <v>1</v>
      </c>
      <c r="AB41" s="9">
        <v>1</v>
      </c>
      <c r="AC41" s="1">
        <f t="shared" si="10"/>
        <v>9</v>
      </c>
      <c r="AD41" s="1">
        <f t="shared" si="6"/>
        <v>7.1428571428571423</v>
      </c>
      <c r="AE41" s="9">
        <v>1</v>
      </c>
      <c r="AF41" s="9">
        <v>1</v>
      </c>
      <c r="AG41" s="9">
        <v>1</v>
      </c>
      <c r="AH41" s="9">
        <v>1</v>
      </c>
      <c r="AI41" s="9">
        <v>1</v>
      </c>
      <c r="AJ41" s="9">
        <v>1</v>
      </c>
      <c r="AK41" s="9">
        <v>1</v>
      </c>
      <c r="AL41" s="9">
        <v>1</v>
      </c>
      <c r="AM41" s="1">
        <f t="shared" si="7"/>
        <v>8</v>
      </c>
      <c r="AN41" s="1">
        <f t="shared" si="8"/>
        <v>0</v>
      </c>
      <c r="AQ41" s="1">
        <f t="shared" si="11"/>
        <v>198.39285714285714</v>
      </c>
      <c r="AR41" s="1">
        <f t="shared" si="12"/>
        <v>69.553571428571431</v>
      </c>
      <c r="AS41" s="1">
        <f t="shared" si="9"/>
        <v>267.94642857142856</v>
      </c>
      <c r="AT41" s="1" t="s">
        <v>253</v>
      </c>
      <c r="AU41" s="20">
        <v>0</v>
      </c>
    </row>
    <row r="42" spans="1:47">
      <c r="A42" t="s">
        <v>41</v>
      </c>
      <c r="B42" s="9">
        <v>3</v>
      </c>
      <c r="C42" s="9">
        <v>2</v>
      </c>
      <c r="D42" s="9">
        <v>3</v>
      </c>
      <c r="E42" s="9">
        <v>5</v>
      </c>
      <c r="F42" s="9">
        <v>3</v>
      </c>
      <c r="G42" s="9">
        <v>4</v>
      </c>
      <c r="H42" s="9">
        <v>2</v>
      </c>
      <c r="I42" s="9">
        <v>2</v>
      </c>
      <c r="J42" s="1">
        <f t="shared" si="2"/>
        <v>24</v>
      </c>
      <c r="K42" s="1">
        <f t="shared" si="3"/>
        <v>50</v>
      </c>
      <c r="L42" s="9">
        <v>4</v>
      </c>
      <c r="M42" s="9">
        <v>1</v>
      </c>
      <c r="N42" s="9">
        <v>1</v>
      </c>
      <c r="O42" s="9">
        <v>2</v>
      </c>
      <c r="P42" s="9">
        <v>2</v>
      </c>
      <c r="Q42" s="9">
        <v>3</v>
      </c>
      <c r="R42" s="9">
        <v>3</v>
      </c>
      <c r="S42" s="9">
        <v>3</v>
      </c>
      <c r="T42" s="1">
        <f t="shared" si="4"/>
        <v>19</v>
      </c>
      <c r="U42" s="1">
        <f t="shared" si="5"/>
        <v>34.375</v>
      </c>
      <c r="V42" s="9">
        <v>1</v>
      </c>
      <c r="W42" s="9">
        <v>1</v>
      </c>
      <c r="X42" s="9">
        <v>3</v>
      </c>
      <c r="Y42" s="9">
        <v>1</v>
      </c>
      <c r="Z42" s="9">
        <v>3</v>
      </c>
      <c r="AA42" s="9">
        <v>3</v>
      </c>
      <c r="AB42" s="9">
        <v>4</v>
      </c>
      <c r="AC42" s="1">
        <f t="shared" si="10"/>
        <v>16</v>
      </c>
      <c r="AD42" s="1">
        <f t="shared" si="6"/>
        <v>32.142857142857146</v>
      </c>
      <c r="AE42" s="9">
        <v>1</v>
      </c>
      <c r="AF42" s="9">
        <v>1</v>
      </c>
      <c r="AG42" s="9">
        <v>1</v>
      </c>
      <c r="AH42" s="9">
        <v>1</v>
      </c>
      <c r="AI42" s="9">
        <v>1</v>
      </c>
      <c r="AJ42" s="9">
        <v>1</v>
      </c>
      <c r="AK42" s="9">
        <v>4</v>
      </c>
      <c r="AL42" s="9">
        <v>1</v>
      </c>
      <c r="AM42" s="1">
        <f t="shared" si="7"/>
        <v>11</v>
      </c>
      <c r="AN42" s="1">
        <f t="shared" si="8"/>
        <v>9.375</v>
      </c>
      <c r="AQ42" s="1">
        <f t="shared" si="11"/>
        <v>245.51785714285714</v>
      </c>
      <c r="AR42" s="1">
        <f t="shared" si="12"/>
        <v>283.33928571428572</v>
      </c>
      <c r="AS42" s="1">
        <f t="shared" si="9"/>
        <v>528.85714285714289</v>
      </c>
      <c r="AT42" s="1" t="s">
        <v>252</v>
      </c>
      <c r="AU42" s="20">
        <v>1</v>
      </c>
    </row>
    <row r="43" spans="1:47">
      <c r="A43" t="s">
        <v>42</v>
      </c>
      <c r="B43" s="9">
        <v>2</v>
      </c>
      <c r="C43" s="9">
        <v>2</v>
      </c>
      <c r="D43" s="9">
        <v>5</v>
      </c>
      <c r="E43" s="9">
        <v>5</v>
      </c>
      <c r="F43" s="9">
        <v>5</v>
      </c>
      <c r="G43" s="9">
        <v>2</v>
      </c>
      <c r="H43" s="9">
        <v>3</v>
      </c>
      <c r="I43" s="9">
        <v>3</v>
      </c>
      <c r="J43" s="1">
        <f t="shared" si="2"/>
        <v>27</v>
      </c>
      <c r="K43" s="1">
        <f t="shared" si="3"/>
        <v>59.375</v>
      </c>
      <c r="L43" s="9">
        <v>4</v>
      </c>
      <c r="M43" s="9">
        <v>3</v>
      </c>
      <c r="N43" s="9">
        <v>2</v>
      </c>
      <c r="O43" s="9">
        <v>3</v>
      </c>
      <c r="P43" s="9">
        <v>2</v>
      </c>
      <c r="Q43" s="9">
        <v>2</v>
      </c>
      <c r="R43" s="9">
        <v>1</v>
      </c>
      <c r="S43" s="9">
        <v>3</v>
      </c>
      <c r="T43" s="1">
        <f t="shared" si="4"/>
        <v>20</v>
      </c>
      <c r="U43" s="1">
        <f t="shared" si="5"/>
        <v>37.5</v>
      </c>
      <c r="V43" s="9">
        <v>1</v>
      </c>
      <c r="W43" s="9">
        <v>3</v>
      </c>
      <c r="X43" s="9">
        <v>2</v>
      </c>
      <c r="Y43" s="9">
        <v>1</v>
      </c>
      <c r="Z43" s="9">
        <v>2</v>
      </c>
      <c r="AA43" s="9">
        <v>2</v>
      </c>
      <c r="AB43" s="9">
        <v>2</v>
      </c>
      <c r="AC43" s="1">
        <f t="shared" si="10"/>
        <v>13</v>
      </c>
      <c r="AD43" s="1">
        <f t="shared" si="6"/>
        <v>21.428571428571427</v>
      </c>
      <c r="AE43" s="9">
        <v>4</v>
      </c>
      <c r="AF43" s="9">
        <v>2</v>
      </c>
      <c r="AG43" s="9">
        <v>4</v>
      </c>
      <c r="AH43" s="9">
        <v>2</v>
      </c>
      <c r="AI43" s="9">
        <v>1</v>
      </c>
      <c r="AJ43" s="9">
        <v>2</v>
      </c>
      <c r="AK43" s="9">
        <v>4</v>
      </c>
      <c r="AL43" s="9">
        <v>4</v>
      </c>
      <c r="AM43" s="1">
        <f t="shared" si="7"/>
        <v>23</v>
      </c>
      <c r="AN43" s="1">
        <f t="shared" si="8"/>
        <v>46.875</v>
      </c>
      <c r="AQ43" s="1">
        <f t="shared" si="11"/>
        <v>261.30357142857144</v>
      </c>
      <c r="AR43" s="1">
        <f t="shared" si="12"/>
        <v>247.94642857142856</v>
      </c>
      <c r="AS43" s="1">
        <f t="shared" si="9"/>
        <v>509.25</v>
      </c>
      <c r="AT43" s="1" t="s">
        <v>252</v>
      </c>
      <c r="AU43" s="20">
        <v>1</v>
      </c>
    </row>
    <row r="44" spans="1:47">
      <c r="A44" t="s">
        <v>43</v>
      </c>
      <c r="B44" s="9">
        <v>3</v>
      </c>
      <c r="C44" s="9">
        <v>3</v>
      </c>
      <c r="D44" s="9">
        <v>5</v>
      </c>
      <c r="E44" s="9">
        <v>4</v>
      </c>
      <c r="F44" s="9">
        <v>2</v>
      </c>
      <c r="G44" s="9">
        <v>4</v>
      </c>
      <c r="H44" s="9">
        <v>3</v>
      </c>
      <c r="I44" s="9">
        <v>2</v>
      </c>
      <c r="J44" s="1">
        <f t="shared" si="2"/>
        <v>26</v>
      </c>
      <c r="K44" s="1">
        <f t="shared" si="3"/>
        <v>56.25</v>
      </c>
      <c r="L44" s="9">
        <v>3</v>
      </c>
      <c r="M44" s="9">
        <v>1</v>
      </c>
      <c r="N44" s="9">
        <v>2</v>
      </c>
      <c r="O44" s="9">
        <v>4</v>
      </c>
      <c r="P44" s="9">
        <v>4</v>
      </c>
      <c r="Q44" s="9">
        <v>3</v>
      </c>
      <c r="R44" s="9">
        <v>1</v>
      </c>
      <c r="S44" s="9">
        <v>2</v>
      </c>
      <c r="T44" s="1">
        <f t="shared" si="4"/>
        <v>20</v>
      </c>
      <c r="U44" s="1">
        <f t="shared" si="5"/>
        <v>37.5</v>
      </c>
      <c r="V44" s="9">
        <v>2</v>
      </c>
      <c r="W44" s="9">
        <v>4</v>
      </c>
      <c r="X44" s="9">
        <v>3</v>
      </c>
      <c r="Y44" s="9">
        <v>4</v>
      </c>
      <c r="Z44" s="9">
        <v>4</v>
      </c>
      <c r="AA44" s="9">
        <v>5</v>
      </c>
      <c r="AB44" s="9">
        <v>2</v>
      </c>
      <c r="AC44" s="1">
        <f t="shared" si="10"/>
        <v>24</v>
      </c>
      <c r="AD44" s="1">
        <f t="shared" si="6"/>
        <v>60.714285714285708</v>
      </c>
      <c r="AE44" s="9">
        <v>2</v>
      </c>
      <c r="AF44" s="9">
        <v>2</v>
      </c>
      <c r="AG44" s="9">
        <v>4</v>
      </c>
      <c r="AH44" s="9">
        <v>3</v>
      </c>
      <c r="AI44" s="9">
        <v>2</v>
      </c>
      <c r="AJ44" s="9">
        <v>2</v>
      </c>
      <c r="AK44" s="9">
        <v>4</v>
      </c>
      <c r="AL44" s="9">
        <v>2</v>
      </c>
      <c r="AM44" s="1">
        <f t="shared" si="7"/>
        <v>21</v>
      </c>
      <c r="AN44" s="1">
        <f t="shared" si="8"/>
        <v>40.625</v>
      </c>
      <c r="AQ44" s="1">
        <f t="shared" si="11"/>
        <v>315.46428571428572</v>
      </c>
      <c r="AR44" s="1">
        <f t="shared" si="12"/>
        <v>258.85714285714289</v>
      </c>
      <c r="AS44" s="1">
        <f t="shared" si="9"/>
        <v>574.32142857142867</v>
      </c>
      <c r="AT44" s="1" t="s">
        <v>252</v>
      </c>
      <c r="AU44" s="20">
        <v>1</v>
      </c>
    </row>
    <row r="45" spans="1:47">
      <c r="A45" t="s">
        <v>44</v>
      </c>
      <c r="B45" s="9">
        <v>3</v>
      </c>
      <c r="C45" s="9">
        <v>2</v>
      </c>
      <c r="D45" s="9">
        <v>5</v>
      </c>
      <c r="E45" s="9">
        <v>3</v>
      </c>
      <c r="F45" s="9">
        <v>3</v>
      </c>
      <c r="G45" s="9">
        <v>3</v>
      </c>
      <c r="H45" s="9">
        <v>1</v>
      </c>
      <c r="I45" s="9">
        <v>3</v>
      </c>
      <c r="J45" s="1">
        <f t="shared" si="2"/>
        <v>23</v>
      </c>
      <c r="K45" s="1">
        <f t="shared" si="3"/>
        <v>46.875</v>
      </c>
      <c r="L45" s="9">
        <v>4</v>
      </c>
      <c r="M45" s="9">
        <v>2</v>
      </c>
      <c r="N45" s="9">
        <v>2</v>
      </c>
      <c r="O45" s="9">
        <v>3</v>
      </c>
      <c r="P45" s="9">
        <v>2</v>
      </c>
      <c r="Q45" s="9">
        <v>4</v>
      </c>
      <c r="R45" s="9">
        <v>1</v>
      </c>
      <c r="S45" s="9">
        <v>3</v>
      </c>
      <c r="T45" s="1">
        <f t="shared" si="4"/>
        <v>21</v>
      </c>
      <c r="U45" s="1">
        <f t="shared" si="5"/>
        <v>40.625</v>
      </c>
      <c r="V45" s="9">
        <v>3</v>
      </c>
      <c r="W45" s="9">
        <v>2</v>
      </c>
      <c r="X45" s="9">
        <v>1</v>
      </c>
      <c r="Y45" s="9">
        <v>1</v>
      </c>
      <c r="Z45" s="9">
        <v>1</v>
      </c>
      <c r="AA45" s="9">
        <v>1</v>
      </c>
      <c r="AB45" s="9">
        <v>1</v>
      </c>
      <c r="AC45" s="1">
        <f t="shared" si="10"/>
        <v>10</v>
      </c>
      <c r="AD45" s="1">
        <f t="shared" si="6"/>
        <v>10.714285714285714</v>
      </c>
      <c r="AE45" s="9">
        <v>3</v>
      </c>
      <c r="AF45" s="9">
        <v>4</v>
      </c>
      <c r="AG45" s="9">
        <v>3</v>
      </c>
      <c r="AH45" s="9">
        <v>3</v>
      </c>
      <c r="AI45" s="9">
        <v>3</v>
      </c>
      <c r="AJ45" s="9">
        <v>1</v>
      </c>
      <c r="AK45" s="9">
        <v>1</v>
      </c>
      <c r="AL45" s="9">
        <v>4</v>
      </c>
      <c r="AM45" s="1">
        <f t="shared" si="7"/>
        <v>22</v>
      </c>
      <c r="AN45" s="1">
        <f t="shared" si="8"/>
        <v>43.75</v>
      </c>
      <c r="AQ45" s="1">
        <f t="shared" si="11"/>
        <v>228.21428571428572</v>
      </c>
      <c r="AR45" s="1">
        <f t="shared" si="12"/>
        <v>373.48214285714283</v>
      </c>
      <c r="AS45" s="1">
        <f t="shared" si="9"/>
        <v>601.69642857142856</v>
      </c>
      <c r="AT45" s="1" t="s">
        <v>252</v>
      </c>
      <c r="AU45" s="20">
        <v>1</v>
      </c>
    </row>
    <row r="46" spans="1:47">
      <c r="A46" t="s">
        <v>45</v>
      </c>
      <c r="B46" s="9">
        <v>4</v>
      </c>
      <c r="C46" s="9">
        <v>3</v>
      </c>
      <c r="D46" s="9">
        <v>5</v>
      </c>
      <c r="E46" s="9">
        <v>3</v>
      </c>
      <c r="F46" s="9">
        <v>4</v>
      </c>
      <c r="G46" s="9">
        <v>4</v>
      </c>
      <c r="H46" s="9">
        <v>5</v>
      </c>
      <c r="I46" s="9">
        <v>3</v>
      </c>
      <c r="J46" s="1">
        <f t="shared" si="2"/>
        <v>31</v>
      </c>
      <c r="K46" s="1">
        <f t="shared" si="3"/>
        <v>71.875</v>
      </c>
      <c r="L46" s="9">
        <v>3</v>
      </c>
      <c r="M46" s="9">
        <v>1</v>
      </c>
      <c r="N46" s="9">
        <v>2</v>
      </c>
      <c r="O46" s="9">
        <v>2</v>
      </c>
      <c r="P46" s="9">
        <v>2</v>
      </c>
      <c r="Q46" s="9">
        <v>3</v>
      </c>
      <c r="R46" s="9">
        <v>1</v>
      </c>
      <c r="S46" s="9">
        <v>1</v>
      </c>
      <c r="T46" s="1">
        <f t="shared" si="4"/>
        <v>15</v>
      </c>
      <c r="U46" s="1">
        <f t="shared" si="5"/>
        <v>21.875</v>
      </c>
      <c r="V46" s="9">
        <v>1</v>
      </c>
      <c r="W46" s="9">
        <v>1</v>
      </c>
      <c r="X46" s="9">
        <v>2</v>
      </c>
      <c r="Y46" s="9">
        <v>1</v>
      </c>
      <c r="Z46" s="9">
        <v>2</v>
      </c>
      <c r="AA46" s="9">
        <v>1</v>
      </c>
      <c r="AB46" s="9">
        <v>1</v>
      </c>
      <c r="AC46" s="1">
        <f t="shared" si="10"/>
        <v>9</v>
      </c>
      <c r="AD46" s="1">
        <f t="shared" si="6"/>
        <v>7.1428571428571423</v>
      </c>
      <c r="AE46" s="9">
        <v>3</v>
      </c>
      <c r="AF46" s="9">
        <v>3</v>
      </c>
      <c r="AG46" s="9">
        <v>1</v>
      </c>
      <c r="AH46" s="9">
        <v>3</v>
      </c>
      <c r="AI46" s="9">
        <v>3</v>
      </c>
      <c r="AJ46" s="9">
        <v>1</v>
      </c>
      <c r="AK46" s="9">
        <v>1</v>
      </c>
      <c r="AL46" s="9">
        <v>1</v>
      </c>
      <c r="AM46" s="1">
        <f t="shared" si="7"/>
        <v>16</v>
      </c>
      <c r="AN46" s="1">
        <f t="shared" si="8"/>
        <v>25</v>
      </c>
      <c r="AQ46" s="1">
        <f t="shared" si="11"/>
        <v>226.89285714285714</v>
      </c>
      <c r="AR46" s="1">
        <f t="shared" si="12"/>
        <v>192.01785714285714</v>
      </c>
      <c r="AS46" s="1">
        <f t="shared" si="9"/>
        <v>418.91071428571428</v>
      </c>
      <c r="AT46" s="1" t="s">
        <v>253</v>
      </c>
      <c r="AU46" s="20">
        <v>0</v>
      </c>
    </row>
    <row r="47" spans="1:47">
      <c r="A47" s="18" t="s">
        <v>46</v>
      </c>
      <c r="B47" s="9">
        <v>4</v>
      </c>
      <c r="C47" s="9">
        <v>4</v>
      </c>
      <c r="D47" s="9">
        <v>4</v>
      </c>
      <c r="E47" s="9">
        <v>4</v>
      </c>
      <c r="F47" s="9">
        <v>3</v>
      </c>
      <c r="G47" s="9">
        <v>4</v>
      </c>
      <c r="H47" s="9">
        <v>4</v>
      </c>
      <c r="I47" s="9">
        <v>4</v>
      </c>
      <c r="J47" s="1">
        <f t="shared" si="2"/>
        <v>31</v>
      </c>
      <c r="K47" s="1">
        <f t="shared" si="3"/>
        <v>71.875</v>
      </c>
      <c r="L47" s="9">
        <v>3</v>
      </c>
      <c r="M47" s="9">
        <v>2</v>
      </c>
      <c r="N47" s="9">
        <v>2</v>
      </c>
      <c r="O47" s="9">
        <v>3</v>
      </c>
      <c r="P47" s="9">
        <v>2</v>
      </c>
      <c r="Q47" s="9">
        <v>3</v>
      </c>
      <c r="R47" s="9">
        <v>2</v>
      </c>
      <c r="S47" s="9">
        <v>2</v>
      </c>
      <c r="T47" s="1">
        <f t="shared" si="4"/>
        <v>19</v>
      </c>
      <c r="U47" s="1">
        <f t="shared" si="5"/>
        <v>34.375</v>
      </c>
      <c r="V47" s="9">
        <v>2</v>
      </c>
      <c r="W47" s="9">
        <v>2</v>
      </c>
      <c r="X47" s="9">
        <v>2</v>
      </c>
      <c r="Y47" s="9">
        <v>2</v>
      </c>
      <c r="Z47" s="9">
        <v>2</v>
      </c>
      <c r="AA47" s="9">
        <v>2</v>
      </c>
      <c r="AB47" s="9">
        <v>2</v>
      </c>
      <c r="AC47" s="1">
        <f t="shared" si="10"/>
        <v>14</v>
      </c>
      <c r="AD47" s="1">
        <f t="shared" si="6"/>
        <v>25</v>
      </c>
      <c r="AE47" s="9">
        <v>3</v>
      </c>
      <c r="AF47" s="9">
        <v>3</v>
      </c>
      <c r="AG47" s="9">
        <v>3</v>
      </c>
      <c r="AH47" s="9">
        <v>2</v>
      </c>
      <c r="AI47" s="9">
        <v>2</v>
      </c>
      <c r="AJ47" s="9">
        <v>2</v>
      </c>
      <c r="AK47" s="9">
        <v>2</v>
      </c>
      <c r="AL47" s="9">
        <v>2</v>
      </c>
      <c r="AM47" s="1">
        <f t="shared" si="7"/>
        <v>19</v>
      </c>
      <c r="AN47" s="1">
        <f t="shared" si="8"/>
        <v>34.375</v>
      </c>
      <c r="AO47" t="s">
        <v>244</v>
      </c>
      <c r="AQ47" s="1">
        <f t="shared" si="11"/>
        <v>278.25</v>
      </c>
      <c r="AR47" s="1">
        <f t="shared" si="12"/>
        <v>161.01785714285714</v>
      </c>
      <c r="AS47" s="1">
        <f t="shared" si="9"/>
        <v>439.26785714285711</v>
      </c>
      <c r="AT47" s="1" t="s">
        <v>253</v>
      </c>
      <c r="AU47" s="20">
        <v>0</v>
      </c>
    </row>
    <row r="48" spans="1:47">
      <c r="A48" t="s">
        <v>47</v>
      </c>
      <c r="B48" s="9">
        <v>4</v>
      </c>
      <c r="C48" s="9">
        <v>4</v>
      </c>
      <c r="D48" s="9">
        <v>5</v>
      </c>
      <c r="E48" s="9">
        <v>5</v>
      </c>
      <c r="F48" s="9">
        <v>5</v>
      </c>
      <c r="G48" s="9">
        <v>2</v>
      </c>
      <c r="H48" s="9">
        <v>5</v>
      </c>
      <c r="I48" s="9">
        <v>3</v>
      </c>
      <c r="J48" s="1">
        <f t="shared" si="2"/>
        <v>33</v>
      </c>
      <c r="K48" s="1">
        <f t="shared" si="3"/>
        <v>78.125</v>
      </c>
      <c r="L48" s="9">
        <v>2</v>
      </c>
      <c r="M48" s="9">
        <v>1</v>
      </c>
      <c r="N48" s="9">
        <v>1</v>
      </c>
      <c r="O48" s="9">
        <v>2</v>
      </c>
      <c r="P48" s="9">
        <v>1</v>
      </c>
      <c r="Q48" s="9">
        <v>2</v>
      </c>
      <c r="R48" s="9">
        <v>1</v>
      </c>
      <c r="S48" s="9">
        <v>4</v>
      </c>
      <c r="T48" s="1">
        <f t="shared" si="4"/>
        <v>14</v>
      </c>
      <c r="U48" s="1">
        <f t="shared" si="5"/>
        <v>18.75</v>
      </c>
      <c r="V48" s="9">
        <v>1</v>
      </c>
      <c r="W48" s="9">
        <v>1</v>
      </c>
      <c r="X48" s="9">
        <v>1</v>
      </c>
      <c r="Y48" s="9">
        <v>1</v>
      </c>
      <c r="Z48" s="9">
        <v>1</v>
      </c>
      <c r="AA48" s="9">
        <v>1</v>
      </c>
      <c r="AB48" s="9">
        <v>1</v>
      </c>
      <c r="AC48" s="1">
        <f t="shared" si="10"/>
        <v>7</v>
      </c>
      <c r="AD48" s="1">
        <f t="shared" si="6"/>
        <v>0</v>
      </c>
      <c r="AE48" s="9">
        <v>4</v>
      </c>
      <c r="AF48" s="9">
        <v>4</v>
      </c>
      <c r="AG48" s="9">
        <v>4</v>
      </c>
      <c r="AH48" s="9">
        <v>1</v>
      </c>
      <c r="AI48" s="9">
        <v>3</v>
      </c>
      <c r="AJ48" s="9">
        <v>1</v>
      </c>
      <c r="AK48" s="9">
        <v>3</v>
      </c>
      <c r="AL48" s="9">
        <v>4</v>
      </c>
      <c r="AM48" s="1">
        <f t="shared" si="7"/>
        <v>24</v>
      </c>
      <c r="AN48" s="1">
        <f t="shared" si="8"/>
        <v>50</v>
      </c>
      <c r="AQ48" s="1">
        <f t="shared" si="11"/>
        <v>228.875</v>
      </c>
      <c r="AR48" s="1">
        <f t="shared" si="12"/>
        <v>247.24999999999997</v>
      </c>
      <c r="AS48" s="1">
        <f t="shared" si="9"/>
        <v>476.125</v>
      </c>
      <c r="AT48" s="1" t="s">
        <v>252</v>
      </c>
      <c r="AU48" s="20">
        <v>1</v>
      </c>
    </row>
    <row r="49" spans="1:47">
      <c r="A49" t="s">
        <v>48</v>
      </c>
      <c r="B49" s="9">
        <v>3</v>
      </c>
      <c r="C49" s="9">
        <v>3</v>
      </c>
      <c r="D49" s="9">
        <v>5</v>
      </c>
      <c r="E49" s="9">
        <v>3</v>
      </c>
      <c r="F49" s="9">
        <v>3</v>
      </c>
      <c r="G49" s="9">
        <v>3</v>
      </c>
      <c r="H49" s="9">
        <v>3</v>
      </c>
      <c r="I49" s="9">
        <v>3</v>
      </c>
      <c r="J49" s="1">
        <f t="shared" si="2"/>
        <v>26</v>
      </c>
      <c r="K49" s="1">
        <f t="shared" si="3"/>
        <v>56.25</v>
      </c>
      <c r="L49" s="9">
        <v>4</v>
      </c>
      <c r="M49" s="9">
        <v>1</v>
      </c>
      <c r="N49" s="9">
        <v>2</v>
      </c>
      <c r="O49" s="9">
        <v>3</v>
      </c>
      <c r="P49" s="9">
        <v>1</v>
      </c>
      <c r="Q49" s="9">
        <v>2</v>
      </c>
      <c r="R49" s="9">
        <v>1</v>
      </c>
      <c r="S49" s="9">
        <v>1</v>
      </c>
      <c r="T49" s="1">
        <f t="shared" si="4"/>
        <v>15</v>
      </c>
      <c r="U49" s="1">
        <f t="shared" si="5"/>
        <v>21.875</v>
      </c>
      <c r="V49" s="9">
        <v>1</v>
      </c>
      <c r="W49" s="9">
        <v>1</v>
      </c>
      <c r="X49" s="9">
        <v>3</v>
      </c>
      <c r="Y49" s="9">
        <v>1</v>
      </c>
      <c r="Z49" s="9">
        <v>1</v>
      </c>
      <c r="AA49" s="9">
        <v>2</v>
      </c>
      <c r="AB49" s="9">
        <v>3</v>
      </c>
      <c r="AC49" s="1">
        <f t="shared" si="10"/>
        <v>12</v>
      </c>
      <c r="AD49" s="1">
        <f t="shared" si="6"/>
        <v>17.857142857142858</v>
      </c>
      <c r="AE49" s="9">
        <v>1</v>
      </c>
      <c r="AF49" s="9">
        <v>1</v>
      </c>
      <c r="AG49" s="9">
        <v>3</v>
      </c>
      <c r="AH49" s="9">
        <v>3</v>
      </c>
      <c r="AI49" s="9">
        <v>1</v>
      </c>
      <c r="AJ49" s="9">
        <v>1</v>
      </c>
      <c r="AK49" s="9">
        <v>4</v>
      </c>
      <c r="AL49" s="9">
        <v>1</v>
      </c>
      <c r="AM49" s="1">
        <f t="shared" si="7"/>
        <v>15</v>
      </c>
      <c r="AN49" s="1">
        <f t="shared" si="8"/>
        <v>21.875</v>
      </c>
      <c r="AQ49" s="1">
        <f t="shared" si="11"/>
        <v>216.98214285714286</v>
      </c>
      <c r="AR49" s="1">
        <f t="shared" si="12"/>
        <v>182.32142857142856</v>
      </c>
      <c r="AS49" s="1">
        <f t="shared" si="9"/>
        <v>399.30357142857144</v>
      </c>
      <c r="AT49" s="1" t="s">
        <v>252</v>
      </c>
      <c r="AU49" s="20">
        <v>1</v>
      </c>
    </row>
    <row r="50" spans="1:47">
      <c r="A50" t="s">
        <v>49</v>
      </c>
      <c r="B50" s="9">
        <v>2</v>
      </c>
      <c r="C50" s="9">
        <v>2</v>
      </c>
      <c r="D50" s="9">
        <v>3</v>
      </c>
      <c r="E50" s="9">
        <v>3</v>
      </c>
      <c r="F50" s="9">
        <v>3</v>
      </c>
      <c r="G50" s="9">
        <v>3</v>
      </c>
      <c r="H50" s="9">
        <v>3</v>
      </c>
      <c r="I50" s="9">
        <v>3</v>
      </c>
      <c r="J50" s="1">
        <f t="shared" si="2"/>
        <v>22</v>
      </c>
      <c r="K50" s="1">
        <f t="shared" si="3"/>
        <v>43.75</v>
      </c>
      <c r="L50" s="9">
        <v>4</v>
      </c>
      <c r="M50" s="9">
        <v>2</v>
      </c>
      <c r="N50" s="9">
        <v>3</v>
      </c>
      <c r="O50" s="9">
        <v>2</v>
      </c>
      <c r="P50" s="9">
        <v>2</v>
      </c>
      <c r="Q50" s="9">
        <v>2</v>
      </c>
      <c r="R50" s="9">
        <v>3</v>
      </c>
      <c r="S50" s="9">
        <v>2</v>
      </c>
      <c r="T50" s="1">
        <f t="shared" si="4"/>
        <v>20</v>
      </c>
      <c r="U50" s="1">
        <f t="shared" si="5"/>
        <v>37.5</v>
      </c>
      <c r="V50" s="9">
        <v>4</v>
      </c>
      <c r="W50" s="9">
        <v>4</v>
      </c>
      <c r="X50" s="9">
        <v>3</v>
      </c>
      <c r="Y50" s="9">
        <v>1</v>
      </c>
      <c r="Z50" s="9">
        <v>2</v>
      </c>
      <c r="AA50" s="9">
        <v>1</v>
      </c>
      <c r="AB50" s="9">
        <v>3</v>
      </c>
      <c r="AC50" s="1">
        <f t="shared" si="10"/>
        <v>18</v>
      </c>
      <c r="AD50" s="1">
        <f t="shared" si="6"/>
        <v>39.285714285714285</v>
      </c>
      <c r="AE50" s="9">
        <v>2</v>
      </c>
      <c r="AF50" s="9">
        <v>2</v>
      </c>
      <c r="AG50" s="9">
        <v>4</v>
      </c>
      <c r="AH50" s="9">
        <v>1</v>
      </c>
      <c r="AI50" s="9">
        <v>2</v>
      </c>
      <c r="AJ50" s="9">
        <v>1</v>
      </c>
      <c r="AK50" s="9">
        <v>4</v>
      </c>
      <c r="AL50" s="9">
        <v>2</v>
      </c>
      <c r="AM50" s="1">
        <f t="shared" si="7"/>
        <v>18</v>
      </c>
      <c r="AN50" s="1">
        <f t="shared" si="8"/>
        <v>31.25</v>
      </c>
      <c r="AQ50" s="1">
        <f t="shared" si="11"/>
        <v>258.53571428571428</v>
      </c>
      <c r="AR50" s="1">
        <f t="shared" si="12"/>
        <v>194.01785714285714</v>
      </c>
      <c r="AS50" s="1">
        <f t="shared" si="9"/>
        <v>452.55357142857144</v>
      </c>
      <c r="AT50" s="1" t="s">
        <v>252</v>
      </c>
      <c r="AU50" s="20">
        <v>1</v>
      </c>
    </row>
    <row r="51" spans="1:47">
      <c r="A51" t="s">
        <v>50</v>
      </c>
      <c r="B51" s="9">
        <v>4</v>
      </c>
      <c r="C51" s="9">
        <v>3</v>
      </c>
      <c r="D51" s="9">
        <v>5</v>
      </c>
      <c r="E51" s="9">
        <v>4</v>
      </c>
      <c r="F51" s="9">
        <v>3</v>
      </c>
      <c r="G51" s="9">
        <v>3</v>
      </c>
      <c r="H51" s="9">
        <v>5</v>
      </c>
      <c r="I51" s="9">
        <v>3</v>
      </c>
      <c r="J51" s="1">
        <f t="shared" si="2"/>
        <v>30</v>
      </c>
      <c r="K51" s="1">
        <f t="shared" si="3"/>
        <v>68.75</v>
      </c>
      <c r="L51" s="9">
        <v>2</v>
      </c>
      <c r="M51" s="9">
        <v>1</v>
      </c>
      <c r="N51" s="9">
        <v>1</v>
      </c>
      <c r="O51" s="9">
        <v>1</v>
      </c>
      <c r="P51" s="9">
        <v>1</v>
      </c>
      <c r="Q51" s="9">
        <v>1</v>
      </c>
      <c r="R51" s="9">
        <v>1</v>
      </c>
      <c r="S51" s="9">
        <v>1</v>
      </c>
      <c r="T51" s="1">
        <f t="shared" si="4"/>
        <v>9</v>
      </c>
      <c r="U51" s="1">
        <f t="shared" si="5"/>
        <v>3.125</v>
      </c>
      <c r="V51" s="9">
        <v>1</v>
      </c>
      <c r="W51" s="9">
        <v>1</v>
      </c>
      <c r="X51" s="9">
        <v>1</v>
      </c>
      <c r="Y51" s="9">
        <v>1</v>
      </c>
      <c r="Z51" s="9">
        <v>1</v>
      </c>
      <c r="AA51" s="9">
        <v>1</v>
      </c>
      <c r="AB51" s="9">
        <v>1</v>
      </c>
      <c r="AC51" s="1">
        <f t="shared" si="10"/>
        <v>7</v>
      </c>
      <c r="AD51" s="1">
        <f t="shared" si="6"/>
        <v>0</v>
      </c>
      <c r="AE51" s="9">
        <v>1</v>
      </c>
      <c r="AF51" s="9">
        <v>1</v>
      </c>
      <c r="AG51" s="9">
        <v>2</v>
      </c>
      <c r="AH51" s="9">
        <v>1</v>
      </c>
      <c r="AI51" s="9">
        <v>1</v>
      </c>
      <c r="AJ51" s="9">
        <v>1</v>
      </c>
      <c r="AK51" s="9">
        <v>2</v>
      </c>
      <c r="AL51" s="9">
        <v>1</v>
      </c>
      <c r="AM51" s="1">
        <f t="shared" si="7"/>
        <v>10</v>
      </c>
      <c r="AN51" s="1">
        <f t="shared" si="8"/>
        <v>6.25</v>
      </c>
      <c r="AO51" t="s">
        <v>244</v>
      </c>
      <c r="AQ51" s="1">
        <f t="shared" si="11"/>
        <v>173.875</v>
      </c>
      <c r="AR51" s="1">
        <f t="shared" si="12"/>
        <v>108.55357142857142</v>
      </c>
      <c r="AS51" s="1">
        <f t="shared" si="9"/>
        <v>282.42857142857144</v>
      </c>
      <c r="AT51" s="1" t="s">
        <v>253</v>
      </c>
      <c r="AU51" s="20">
        <v>0</v>
      </c>
    </row>
    <row r="52" spans="1:47">
      <c r="A52" t="s">
        <v>51</v>
      </c>
      <c r="B52" s="9">
        <v>3</v>
      </c>
      <c r="C52" s="9">
        <v>3</v>
      </c>
      <c r="D52" s="9">
        <v>4</v>
      </c>
      <c r="E52" s="9">
        <v>4</v>
      </c>
      <c r="F52" s="9">
        <v>5</v>
      </c>
      <c r="G52" s="9">
        <v>4</v>
      </c>
      <c r="H52" s="9">
        <v>3</v>
      </c>
      <c r="I52" s="9">
        <v>4</v>
      </c>
      <c r="J52" s="1">
        <f t="shared" si="2"/>
        <v>30</v>
      </c>
      <c r="K52" s="1">
        <f t="shared" si="3"/>
        <v>68.75</v>
      </c>
      <c r="L52" s="9">
        <v>3</v>
      </c>
      <c r="M52" s="9">
        <v>1</v>
      </c>
      <c r="N52" s="9">
        <v>1</v>
      </c>
      <c r="O52" s="9">
        <v>2</v>
      </c>
      <c r="P52" s="9">
        <v>2</v>
      </c>
      <c r="Q52" s="9">
        <v>4</v>
      </c>
      <c r="R52" s="9">
        <v>2</v>
      </c>
      <c r="S52" s="9">
        <v>4</v>
      </c>
      <c r="T52" s="1">
        <f t="shared" si="4"/>
        <v>19</v>
      </c>
      <c r="U52" s="1">
        <f t="shared" si="5"/>
        <v>34.375</v>
      </c>
      <c r="V52" s="9">
        <v>2</v>
      </c>
      <c r="W52" s="9">
        <v>1</v>
      </c>
      <c r="X52" s="9">
        <v>2</v>
      </c>
      <c r="Y52" s="9">
        <v>2</v>
      </c>
      <c r="Z52" s="9">
        <v>2</v>
      </c>
      <c r="AA52" s="9">
        <v>2</v>
      </c>
      <c r="AB52" s="9">
        <v>1</v>
      </c>
      <c r="AC52" s="1">
        <f t="shared" si="10"/>
        <v>12</v>
      </c>
      <c r="AD52" s="1">
        <f t="shared" si="6"/>
        <v>17.857142857142858</v>
      </c>
      <c r="AE52" s="9">
        <v>1</v>
      </c>
      <c r="AF52" s="9">
        <v>1</v>
      </c>
      <c r="AG52" s="9">
        <v>2</v>
      </c>
      <c r="AH52" s="9">
        <v>1</v>
      </c>
      <c r="AI52" s="9">
        <v>1</v>
      </c>
      <c r="AJ52" s="9">
        <v>1</v>
      </c>
      <c r="AK52" s="9">
        <v>1</v>
      </c>
      <c r="AL52" s="9">
        <v>4</v>
      </c>
      <c r="AM52" s="1">
        <f t="shared" si="7"/>
        <v>12</v>
      </c>
      <c r="AN52" s="1">
        <f t="shared" si="8"/>
        <v>12.5</v>
      </c>
      <c r="AQ52" s="1">
        <f t="shared" si="11"/>
        <v>254.98214285714286</v>
      </c>
      <c r="AR52" s="1">
        <f t="shared" si="12"/>
        <v>168.03571428571428</v>
      </c>
      <c r="AS52" s="1">
        <f t="shared" si="9"/>
        <v>423.01785714285711</v>
      </c>
      <c r="AT52" s="1" t="s">
        <v>253</v>
      </c>
      <c r="AU52" s="20">
        <v>0</v>
      </c>
    </row>
    <row r="53" spans="1:47">
      <c r="A53" t="s">
        <v>52</v>
      </c>
      <c r="B53" s="9">
        <v>3</v>
      </c>
      <c r="C53" s="9">
        <v>3</v>
      </c>
      <c r="D53" s="9">
        <v>4</v>
      </c>
      <c r="E53" s="9">
        <v>3</v>
      </c>
      <c r="F53" s="9">
        <v>4</v>
      </c>
      <c r="G53" s="9">
        <v>2</v>
      </c>
      <c r="H53" s="9">
        <v>3</v>
      </c>
      <c r="I53" s="9">
        <v>2</v>
      </c>
      <c r="J53" s="1">
        <f t="shared" si="2"/>
        <v>24</v>
      </c>
      <c r="K53" s="1">
        <f t="shared" si="3"/>
        <v>50</v>
      </c>
      <c r="L53" s="9">
        <v>3</v>
      </c>
      <c r="M53" s="9">
        <v>2</v>
      </c>
      <c r="N53" s="9">
        <v>3</v>
      </c>
      <c r="O53" s="9">
        <v>2</v>
      </c>
      <c r="P53" s="9">
        <v>1</v>
      </c>
      <c r="Q53" s="9">
        <v>3</v>
      </c>
      <c r="R53" s="9">
        <v>3</v>
      </c>
      <c r="S53" s="9">
        <v>3</v>
      </c>
      <c r="T53" s="1">
        <f t="shared" si="4"/>
        <v>20</v>
      </c>
      <c r="U53" s="1">
        <f t="shared" si="5"/>
        <v>37.5</v>
      </c>
      <c r="V53" s="9">
        <v>4</v>
      </c>
      <c r="W53" s="9">
        <v>2</v>
      </c>
      <c r="X53" s="9">
        <v>1</v>
      </c>
      <c r="Y53" s="9">
        <v>1</v>
      </c>
      <c r="Z53" s="9">
        <v>1</v>
      </c>
      <c r="AA53" s="9">
        <v>1</v>
      </c>
      <c r="AB53" s="9">
        <v>1</v>
      </c>
      <c r="AC53" s="1">
        <f t="shared" si="10"/>
        <v>11</v>
      </c>
      <c r="AD53" s="1">
        <f t="shared" si="6"/>
        <v>14.285714285714285</v>
      </c>
      <c r="AE53" s="9">
        <v>2</v>
      </c>
      <c r="AF53" s="9">
        <v>1</v>
      </c>
      <c r="AG53" s="9">
        <v>3</v>
      </c>
      <c r="AH53" s="9">
        <v>2</v>
      </c>
      <c r="AI53" s="9">
        <v>1</v>
      </c>
      <c r="AJ53" s="9">
        <v>1</v>
      </c>
      <c r="AK53" s="9">
        <v>4</v>
      </c>
      <c r="AL53" s="9">
        <v>2</v>
      </c>
      <c r="AM53" s="1">
        <f t="shared" si="7"/>
        <v>16</v>
      </c>
      <c r="AN53" s="1">
        <f t="shared" si="8"/>
        <v>25</v>
      </c>
      <c r="AQ53" s="1">
        <f t="shared" si="11"/>
        <v>227.78571428571428</v>
      </c>
      <c r="AR53" s="1">
        <f t="shared" si="12"/>
        <v>206.73214285714283</v>
      </c>
      <c r="AS53" s="1">
        <f t="shared" si="9"/>
        <v>434.51785714285711</v>
      </c>
      <c r="AT53" s="1" t="s">
        <v>252</v>
      </c>
      <c r="AU53" s="20">
        <v>1</v>
      </c>
    </row>
    <row r="54" spans="1:47">
      <c r="A54" t="s">
        <v>53</v>
      </c>
      <c r="B54" s="9">
        <v>4</v>
      </c>
      <c r="C54" s="9">
        <v>4</v>
      </c>
      <c r="D54" s="9">
        <v>5</v>
      </c>
      <c r="E54" s="9">
        <v>5</v>
      </c>
      <c r="F54" s="9">
        <v>4</v>
      </c>
      <c r="G54" s="9">
        <v>5</v>
      </c>
      <c r="H54" s="9">
        <v>5</v>
      </c>
      <c r="I54" s="9">
        <v>5</v>
      </c>
      <c r="J54" s="1">
        <f t="shared" si="2"/>
        <v>37</v>
      </c>
      <c r="K54" s="1">
        <f t="shared" si="3"/>
        <v>90.625</v>
      </c>
      <c r="L54" s="9">
        <v>1</v>
      </c>
      <c r="M54" s="9">
        <v>1</v>
      </c>
      <c r="N54" s="9">
        <v>1</v>
      </c>
      <c r="O54" s="9">
        <v>1</v>
      </c>
      <c r="P54" s="9">
        <v>3</v>
      </c>
      <c r="Q54" s="9">
        <v>1</v>
      </c>
      <c r="R54" s="9">
        <v>1</v>
      </c>
      <c r="S54" s="9">
        <v>1</v>
      </c>
      <c r="T54" s="1">
        <f t="shared" si="4"/>
        <v>10</v>
      </c>
      <c r="U54" s="1">
        <f t="shared" si="5"/>
        <v>6.25</v>
      </c>
      <c r="V54" s="9">
        <v>1</v>
      </c>
      <c r="W54" s="9">
        <v>1</v>
      </c>
      <c r="X54" s="9">
        <v>1</v>
      </c>
      <c r="Y54" s="9">
        <v>1</v>
      </c>
      <c r="Z54" s="9">
        <v>3</v>
      </c>
      <c r="AA54" s="9">
        <v>1</v>
      </c>
      <c r="AB54" s="9">
        <v>1</v>
      </c>
      <c r="AC54" s="1">
        <f t="shared" si="10"/>
        <v>9</v>
      </c>
      <c r="AD54" s="1">
        <f t="shared" si="6"/>
        <v>7.1428571428571423</v>
      </c>
      <c r="AE54" s="9">
        <v>1</v>
      </c>
      <c r="AF54" s="9">
        <v>1</v>
      </c>
      <c r="AG54" s="9">
        <v>1</v>
      </c>
      <c r="AH54" s="9">
        <v>2</v>
      </c>
      <c r="AI54" s="9">
        <v>1</v>
      </c>
      <c r="AJ54" s="9">
        <v>2</v>
      </c>
      <c r="AK54" s="9">
        <v>1</v>
      </c>
      <c r="AL54" s="9">
        <v>1</v>
      </c>
      <c r="AM54" s="1">
        <f t="shared" si="7"/>
        <v>10</v>
      </c>
      <c r="AN54" s="1">
        <f t="shared" si="8"/>
        <v>6.25</v>
      </c>
      <c r="AQ54" s="1">
        <f t="shared" si="11"/>
        <v>226.01785714285714</v>
      </c>
      <c r="AR54" s="1">
        <f t="shared" si="12"/>
        <v>89.392857142857139</v>
      </c>
      <c r="AS54" s="1">
        <f t="shared" si="9"/>
        <v>315.41071428571428</v>
      </c>
      <c r="AT54" s="1" t="s">
        <v>253</v>
      </c>
      <c r="AU54" s="20">
        <v>0</v>
      </c>
    </row>
    <row r="55" spans="1:47">
      <c r="A55" t="s">
        <v>54</v>
      </c>
      <c r="B55" s="9">
        <v>3</v>
      </c>
      <c r="C55" s="9">
        <v>3</v>
      </c>
      <c r="D55" s="9">
        <v>4</v>
      </c>
      <c r="E55" s="9">
        <v>4</v>
      </c>
      <c r="F55" s="9">
        <v>4</v>
      </c>
      <c r="G55" s="9">
        <v>1</v>
      </c>
      <c r="H55" s="9">
        <v>5</v>
      </c>
      <c r="I55" s="9">
        <v>4</v>
      </c>
      <c r="J55" s="1">
        <f t="shared" si="2"/>
        <v>28</v>
      </c>
      <c r="K55" s="1">
        <f t="shared" si="3"/>
        <v>62.5</v>
      </c>
      <c r="L55" s="9">
        <v>3</v>
      </c>
      <c r="M55" s="9">
        <v>1</v>
      </c>
      <c r="N55" s="9">
        <v>2</v>
      </c>
      <c r="O55" s="9">
        <v>2</v>
      </c>
      <c r="P55" s="9">
        <v>1</v>
      </c>
      <c r="Q55" s="9">
        <v>4</v>
      </c>
      <c r="R55" s="9">
        <v>2</v>
      </c>
      <c r="S55" s="9">
        <v>3</v>
      </c>
      <c r="T55" s="1">
        <f t="shared" si="4"/>
        <v>18</v>
      </c>
      <c r="U55" s="1">
        <f t="shared" si="5"/>
        <v>31.25</v>
      </c>
      <c r="V55" s="9">
        <v>1</v>
      </c>
      <c r="W55" s="9">
        <v>1</v>
      </c>
      <c r="X55" s="9">
        <v>1</v>
      </c>
      <c r="Y55" s="9">
        <v>3</v>
      </c>
      <c r="Z55" s="9">
        <v>1</v>
      </c>
      <c r="AA55" s="9">
        <v>1</v>
      </c>
      <c r="AB55" s="9">
        <v>1</v>
      </c>
      <c r="AC55" s="1">
        <f t="shared" si="10"/>
        <v>9</v>
      </c>
      <c r="AD55" s="1">
        <f t="shared" si="6"/>
        <v>7.1428571428571423</v>
      </c>
      <c r="AE55" s="9">
        <v>1</v>
      </c>
      <c r="AF55" s="9">
        <v>1</v>
      </c>
      <c r="AG55" s="9">
        <v>1</v>
      </c>
      <c r="AH55" s="9">
        <v>1</v>
      </c>
      <c r="AI55" s="9">
        <v>1</v>
      </c>
      <c r="AJ55" s="9">
        <v>1</v>
      </c>
      <c r="AK55" s="9">
        <v>1</v>
      </c>
      <c r="AL55" s="9">
        <v>1</v>
      </c>
      <c r="AM55" s="1">
        <f t="shared" si="7"/>
        <v>8</v>
      </c>
      <c r="AN55" s="1">
        <f t="shared" si="8"/>
        <v>0</v>
      </c>
      <c r="AQ55" s="1">
        <f t="shared" si="11"/>
        <v>218.89285714285714</v>
      </c>
      <c r="AR55" s="1">
        <f t="shared" si="12"/>
        <v>153.125</v>
      </c>
      <c r="AS55" s="1">
        <f t="shared" si="9"/>
        <v>372.01785714285711</v>
      </c>
      <c r="AT55" s="1" t="s">
        <v>253</v>
      </c>
      <c r="AU55" s="20">
        <v>0</v>
      </c>
    </row>
    <row r="56" spans="1:47">
      <c r="A56" t="s">
        <v>55</v>
      </c>
      <c r="B56" s="9">
        <v>3</v>
      </c>
      <c r="C56" s="9">
        <v>3</v>
      </c>
      <c r="D56" s="9">
        <v>4</v>
      </c>
      <c r="E56" s="9">
        <v>3</v>
      </c>
      <c r="F56" s="9">
        <v>4</v>
      </c>
      <c r="G56" s="9">
        <v>4</v>
      </c>
      <c r="H56" s="9">
        <v>3</v>
      </c>
      <c r="I56" s="9">
        <v>4</v>
      </c>
      <c r="J56" s="1">
        <f t="shared" si="2"/>
        <v>28</v>
      </c>
      <c r="K56" s="1">
        <f t="shared" si="3"/>
        <v>62.5</v>
      </c>
      <c r="L56" s="9">
        <v>3</v>
      </c>
      <c r="M56" s="9">
        <v>1</v>
      </c>
      <c r="N56" s="9">
        <v>2</v>
      </c>
      <c r="O56" s="9">
        <v>4</v>
      </c>
      <c r="P56" s="9">
        <v>1</v>
      </c>
      <c r="Q56" s="9">
        <v>4</v>
      </c>
      <c r="R56" s="9">
        <v>2</v>
      </c>
      <c r="S56" s="9">
        <v>3</v>
      </c>
      <c r="T56" s="1">
        <f t="shared" si="4"/>
        <v>20</v>
      </c>
      <c r="U56" s="1">
        <f t="shared" si="5"/>
        <v>37.5</v>
      </c>
      <c r="V56" s="9">
        <v>2</v>
      </c>
      <c r="W56" s="9">
        <v>3</v>
      </c>
      <c r="X56" s="9">
        <v>2</v>
      </c>
      <c r="Y56" s="9">
        <v>2</v>
      </c>
      <c r="Z56" s="9">
        <v>1</v>
      </c>
      <c r="AA56" s="9">
        <v>1</v>
      </c>
      <c r="AB56" s="9">
        <v>1</v>
      </c>
      <c r="AC56" s="1">
        <f t="shared" si="10"/>
        <v>12</v>
      </c>
      <c r="AD56" s="1">
        <f t="shared" si="6"/>
        <v>17.857142857142858</v>
      </c>
      <c r="AE56" s="9">
        <v>2</v>
      </c>
      <c r="AF56" s="9">
        <v>2</v>
      </c>
      <c r="AG56" s="9">
        <v>4</v>
      </c>
      <c r="AH56" s="9">
        <v>4</v>
      </c>
      <c r="AI56" s="9">
        <v>5</v>
      </c>
      <c r="AJ56" s="9">
        <v>3</v>
      </c>
      <c r="AK56" s="9">
        <v>2</v>
      </c>
      <c r="AL56" s="9">
        <v>3</v>
      </c>
      <c r="AM56" s="1">
        <f t="shared" si="7"/>
        <v>25</v>
      </c>
      <c r="AN56" s="1">
        <f t="shared" si="8"/>
        <v>53.125</v>
      </c>
      <c r="AQ56" s="1">
        <f t="shared" si="11"/>
        <v>262.85714285714289</v>
      </c>
      <c r="AR56" s="1">
        <f t="shared" si="12"/>
        <v>251.28571428571428</v>
      </c>
      <c r="AS56" s="1">
        <f t="shared" si="9"/>
        <v>514.14285714285711</v>
      </c>
      <c r="AT56" s="1" t="s">
        <v>252</v>
      </c>
      <c r="AU56" s="20">
        <v>1</v>
      </c>
    </row>
    <row r="57" spans="1:47">
      <c r="A57" t="s">
        <v>56</v>
      </c>
      <c r="B57" s="9">
        <v>2</v>
      </c>
      <c r="C57" s="9">
        <v>4</v>
      </c>
      <c r="D57" s="9">
        <v>5</v>
      </c>
      <c r="E57" s="9">
        <v>5</v>
      </c>
      <c r="F57" s="9">
        <v>5</v>
      </c>
      <c r="G57" s="9">
        <v>1</v>
      </c>
      <c r="H57" s="9">
        <v>5</v>
      </c>
      <c r="I57" s="9">
        <v>5</v>
      </c>
      <c r="J57" s="1">
        <f t="shared" si="2"/>
        <v>32</v>
      </c>
      <c r="K57" s="1">
        <f t="shared" si="3"/>
        <v>75</v>
      </c>
      <c r="L57" s="9">
        <v>1</v>
      </c>
      <c r="M57" s="9">
        <v>1</v>
      </c>
      <c r="N57" s="9">
        <v>1</v>
      </c>
      <c r="O57" s="9">
        <v>1</v>
      </c>
      <c r="P57" s="9">
        <v>1</v>
      </c>
      <c r="Q57" s="9">
        <v>1</v>
      </c>
      <c r="R57" s="9">
        <v>1</v>
      </c>
      <c r="S57" s="9">
        <v>1</v>
      </c>
      <c r="T57" s="1">
        <f t="shared" si="4"/>
        <v>8</v>
      </c>
      <c r="U57" s="1">
        <f t="shared" si="5"/>
        <v>0</v>
      </c>
      <c r="V57" s="9">
        <v>1</v>
      </c>
      <c r="W57" s="9">
        <v>1</v>
      </c>
      <c r="X57" s="9">
        <v>1</v>
      </c>
      <c r="Y57" s="9">
        <v>1</v>
      </c>
      <c r="Z57" s="9">
        <v>1</v>
      </c>
      <c r="AA57" s="9">
        <v>1</v>
      </c>
      <c r="AB57" s="9">
        <v>1</v>
      </c>
      <c r="AC57" s="1">
        <f t="shared" si="10"/>
        <v>7</v>
      </c>
      <c r="AD57" s="1">
        <f t="shared" si="6"/>
        <v>0</v>
      </c>
      <c r="AE57" s="9">
        <v>1</v>
      </c>
      <c r="AF57" s="9">
        <v>1</v>
      </c>
      <c r="AG57" s="9">
        <v>2</v>
      </c>
      <c r="AH57" s="9">
        <v>1</v>
      </c>
      <c r="AI57" s="9">
        <v>1</v>
      </c>
      <c r="AJ57" s="9">
        <v>1</v>
      </c>
      <c r="AK57" s="9">
        <v>1</v>
      </c>
      <c r="AL57" s="9">
        <v>1</v>
      </c>
      <c r="AM57" s="1">
        <f t="shared" si="7"/>
        <v>9</v>
      </c>
      <c r="AN57" s="1">
        <f t="shared" si="8"/>
        <v>3.125</v>
      </c>
      <c r="AQ57" s="1">
        <f t="shared" si="11"/>
        <v>178</v>
      </c>
      <c r="AR57" s="1">
        <f t="shared" si="12"/>
        <v>65</v>
      </c>
      <c r="AS57" s="1">
        <f t="shared" si="9"/>
        <v>243</v>
      </c>
      <c r="AT57" s="1" t="s">
        <v>253</v>
      </c>
      <c r="AU57" s="20">
        <v>0</v>
      </c>
    </row>
    <row r="58" spans="1:47">
      <c r="A58" t="s">
        <v>57</v>
      </c>
      <c r="B58" s="9">
        <v>4</v>
      </c>
      <c r="C58" s="9">
        <v>4</v>
      </c>
      <c r="D58" s="9">
        <v>4</v>
      </c>
      <c r="E58" s="9">
        <v>5</v>
      </c>
      <c r="F58" s="9">
        <v>5</v>
      </c>
      <c r="G58" s="9">
        <v>4</v>
      </c>
      <c r="H58" s="9">
        <v>4</v>
      </c>
      <c r="I58" s="9">
        <v>5</v>
      </c>
      <c r="J58" s="1">
        <f t="shared" si="2"/>
        <v>35</v>
      </c>
      <c r="K58" s="1">
        <f t="shared" si="3"/>
        <v>84.375</v>
      </c>
      <c r="L58" s="9">
        <v>3</v>
      </c>
      <c r="M58" s="9">
        <v>1</v>
      </c>
      <c r="N58" s="9">
        <v>1</v>
      </c>
      <c r="O58" s="9">
        <v>1</v>
      </c>
      <c r="P58" s="9">
        <v>1</v>
      </c>
      <c r="Q58" s="9">
        <v>1</v>
      </c>
      <c r="R58" s="9">
        <v>1</v>
      </c>
      <c r="S58" s="9">
        <v>1</v>
      </c>
      <c r="T58" s="1">
        <f t="shared" si="4"/>
        <v>10</v>
      </c>
      <c r="U58" s="1">
        <f t="shared" si="5"/>
        <v>6.25</v>
      </c>
      <c r="V58" s="9">
        <v>3</v>
      </c>
      <c r="W58" s="9">
        <v>1</v>
      </c>
      <c r="X58" s="9">
        <v>1</v>
      </c>
      <c r="Y58" s="9">
        <v>1</v>
      </c>
      <c r="Z58" s="9">
        <v>1</v>
      </c>
      <c r="AA58" s="9">
        <v>1</v>
      </c>
      <c r="AB58" s="9">
        <v>1</v>
      </c>
      <c r="AC58" s="1">
        <f t="shared" si="10"/>
        <v>9</v>
      </c>
      <c r="AD58" s="1">
        <f t="shared" si="6"/>
        <v>7.1428571428571423</v>
      </c>
      <c r="AE58" s="9">
        <v>1</v>
      </c>
      <c r="AF58" s="9">
        <v>2</v>
      </c>
      <c r="AG58" s="9">
        <v>2</v>
      </c>
      <c r="AH58" s="9">
        <v>3</v>
      </c>
      <c r="AI58" s="9">
        <v>1</v>
      </c>
      <c r="AJ58" s="9">
        <v>3</v>
      </c>
      <c r="AK58" s="9">
        <v>1</v>
      </c>
      <c r="AL58" s="9">
        <v>2</v>
      </c>
      <c r="AM58" s="1">
        <f t="shared" si="7"/>
        <v>15</v>
      </c>
      <c r="AN58" s="1">
        <f t="shared" si="8"/>
        <v>21.875</v>
      </c>
      <c r="AO58" t="s">
        <v>244</v>
      </c>
      <c r="AQ58" s="1">
        <f t="shared" si="11"/>
        <v>220.76785714285714</v>
      </c>
      <c r="AR58" s="1">
        <f t="shared" si="12"/>
        <v>93.517857142857139</v>
      </c>
      <c r="AS58" s="1">
        <f t="shared" si="9"/>
        <v>314.28571428571428</v>
      </c>
      <c r="AT58" s="1" t="s">
        <v>253</v>
      </c>
      <c r="AU58" s="20">
        <v>0</v>
      </c>
    </row>
    <row r="59" spans="1:47">
      <c r="A59" t="s">
        <v>58</v>
      </c>
      <c r="B59" s="9">
        <v>3</v>
      </c>
      <c r="C59" s="9">
        <v>4</v>
      </c>
      <c r="D59" s="9">
        <v>5</v>
      </c>
      <c r="E59" s="9">
        <v>5</v>
      </c>
      <c r="F59" s="9">
        <v>5</v>
      </c>
      <c r="G59" s="9">
        <v>2</v>
      </c>
      <c r="H59" s="9">
        <v>5</v>
      </c>
      <c r="I59" s="9">
        <v>2</v>
      </c>
      <c r="J59" s="1">
        <f t="shared" si="2"/>
        <v>31</v>
      </c>
      <c r="K59" s="1">
        <f t="shared" si="3"/>
        <v>71.875</v>
      </c>
      <c r="L59" s="9">
        <v>2</v>
      </c>
      <c r="M59" s="9">
        <v>2</v>
      </c>
      <c r="N59" s="9">
        <v>3</v>
      </c>
      <c r="O59" s="9">
        <v>3</v>
      </c>
      <c r="P59" s="9">
        <v>1</v>
      </c>
      <c r="Q59" s="9">
        <v>2</v>
      </c>
      <c r="R59" s="9">
        <v>2</v>
      </c>
      <c r="S59" s="9">
        <v>2</v>
      </c>
      <c r="T59" s="1">
        <f t="shared" si="4"/>
        <v>17</v>
      </c>
      <c r="U59" s="1">
        <f t="shared" si="5"/>
        <v>28.125</v>
      </c>
      <c r="V59" s="9">
        <v>2</v>
      </c>
      <c r="W59" s="9">
        <v>2</v>
      </c>
      <c r="X59" s="9">
        <v>3</v>
      </c>
      <c r="Y59" s="9">
        <v>2</v>
      </c>
      <c r="Z59" s="9">
        <v>1</v>
      </c>
      <c r="AA59" s="9">
        <v>1</v>
      </c>
      <c r="AB59" s="9">
        <v>3</v>
      </c>
      <c r="AC59" s="1">
        <f t="shared" si="10"/>
        <v>14</v>
      </c>
      <c r="AD59" s="1">
        <f t="shared" si="6"/>
        <v>25</v>
      </c>
      <c r="AE59" s="9">
        <v>2</v>
      </c>
      <c r="AF59" s="9">
        <v>2</v>
      </c>
      <c r="AG59" s="9">
        <v>3</v>
      </c>
      <c r="AH59" s="9">
        <v>2</v>
      </c>
      <c r="AI59" s="9">
        <v>2</v>
      </c>
      <c r="AJ59" s="9">
        <v>2</v>
      </c>
      <c r="AK59" s="9">
        <v>3</v>
      </c>
      <c r="AL59" s="9">
        <v>2</v>
      </c>
      <c r="AM59" s="1">
        <f t="shared" si="7"/>
        <v>18</v>
      </c>
      <c r="AN59" s="1">
        <f t="shared" si="8"/>
        <v>31.25</v>
      </c>
      <c r="AO59" t="s">
        <v>244</v>
      </c>
      <c r="AQ59" s="1">
        <f t="shared" si="11"/>
        <v>267</v>
      </c>
      <c r="AR59" s="1">
        <f t="shared" si="12"/>
        <v>187.32142857142856</v>
      </c>
      <c r="AS59" s="1">
        <f t="shared" si="9"/>
        <v>454.32142857142856</v>
      </c>
      <c r="AT59" s="1" t="s">
        <v>253</v>
      </c>
      <c r="AU59" s="20">
        <v>0</v>
      </c>
    </row>
    <row r="60" spans="1:47">
      <c r="A60" t="s">
        <v>59</v>
      </c>
      <c r="B60" s="9">
        <v>2</v>
      </c>
      <c r="C60" s="9">
        <v>2</v>
      </c>
      <c r="D60" s="9">
        <v>4</v>
      </c>
      <c r="E60" s="9">
        <v>3</v>
      </c>
      <c r="F60" s="9">
        <v>5</v>
      </c>
      <c r="G60" s="9">
        <v>4</v>
      </c>
      <c r="H60" s="9">
        <v>4</v>
      </c>
      <c r="I60" s="9">
        <v>2</v>
      </c>
      <c r="J60" s="1">
        <f t="shared" si="2"/>
        <v>26</v>
      </c>
      <c r="K60" s="1">
        <f t="shared" si="3"/>
        <v>56.25</v>
      </c>
      <c r="L60" s="9">
        <v>4</v>
      </c>
      <c r="M60" s="9">
        <v>2</v>
      </c>
      <c r="N60" s="9">
        <v>1</v>
      </c>
      <c r="O60" s="9">
        <v>2</v>
      </c>
      <c r="P60" s="9">
        <v>1</v>
      </c>
      <c r="Q60" s="9">
        <v>4</v>
      </c>
      <c r="R60" s="9">
        <v>2</v>
      </c>
      <c r="S60" s="9">
        <v>3</v>
      </c>
      <c r="T60" s="1">
        <f t="shared" si="4"/>
        <v>19</v>
      </c>
      <c r="U60" s="1">
        <f t="shared" si="5"/>
        <v>34.375</v>
      </c>
      <c r="V60" s="9">
        <v>2</v>
      </c>
      <c r="W60" s="9">
        <v>2</v>
      </c>
      <c r="X60" s="9">
        <v>2</v>
      </c>
      <c r="Y60" s="9">
        <v>1</v>
      </c>
      <c r="Z60" s="9">
        <v>1</v>
      </c>
      <c r="AA60" s="9">
        <v>1</v>
      </c>
      <c r="AB60" s="9">
        <v>2</v>
      </c>
      <c r="AC60" s="1">
        <f t="shared" si="10"/>
        <v>11</v>
      </c>
      <c r="AD60" s="1">
        <f t="shared" si="6"/>
        <v>14.285714285714285</v>
      </c>
      <c r="AE60" s="9">
        <v>2</v>
      </c>
      <c r="AF60" s="9">
        <v>1</v>
      </c>
      <c r="AG60" s="9">
        <v>4</v>
      </c>
      <c r="AH60" s="9">
        <v>1</v>
      </c>
      <c r="AI60" s="9">
        <v>2</v>
      </c>
      <c r="AJ60" s="9">
        <v>2</v>
      </c>
      <c r="AK60" s="9">
        <v>1</v>
      </c>
      <c r="AL60" s="9">
        <v>3</v>
      </c>
      <c r="AM60" s="1">
        <f t="shared" si="7"/>
        <v>16</v>
      </c>
      <c r="AN60" s="1">
        <f t="shared" si="8"/>
        <v>25</v>
      </c>
      <c r="AQ60" s="1">
        <f t="shared" si="11"/>
        <v>232.91071428571428</v>
      </c>
      <c r="AR60" s="1">
        <f t="shared" si="12"/>
        <v>279.80357142857144</v>
      </c>
      <c r="AS60" s="1">
        <f t="shared" si="9"/>
        <v>512.71428571428578</v>
      </c>
      <c r="AT60" s="1" t="s">
        <v>252</v>
      </c>
      <c r="AU60" s="20">
        <v>1</v>
      </c>
    </row>
    <row r="61" spans="1:47">
      <c r="A61" t="s">
        <v>60</v>
      </c>
      <c r="B61" s="9">
        <v>3</v>
      </c>
      <c r="C61" s="9">
        <v>3</v>
      </c>
      <c r="D61" s="9">
        <v>3</v>
      </c>
      <c r="E61" s="9">
        <v>4</v>
      </c>
      <c r="F61" s="9">
        <v>2</v>
      </c>
      <c r="G61" s="9">
        <v>3</v>
      </c>
      <c r="H61" s="9">
        <v>5</v>
      </c>
      <c r="I61" s="9">
        <v>3</v>
      </c>
      <c r="J61" s="1">
        <f t="shared" si="2"/>
        <v>26</v>
      </c>
      <c r="K61" s="1">
        <f t="shared" si="3"/>
        <v>56.25</v>
      </c>
      <c r="L61" s="9">
        <v>3</v>
      </c>
      <c r="M61" s="9">
        <v>2</v>
      </c>
      <c r="N61" s="9">
        <v>4</v>
      </c>
      <c r="O61" s="9">
        <v>1</v>
      </c>
      <c r="P61" s="9">
        <v>3</v>
      </c>
      <c r="Q61" s="9">
        <v>4</v>
      </c>
      <c r="R61" s="9">
        <v>3</v>
      </c>
      <c r="S61" s="9">
        <v>2</v>
      </c>
      <c r="T61" s="1">
        <f t="shared" si="4"/>
        <v>22</v>
      </c>
      <c r="U61" s="1">
        <f t="shared" si="5"/>
        <v>43.75</v>
      </c>
      <c r="V61" s="9">
        <v>4</v>
      </c>
      <c r="W61" s="9">
        <v>1</v>
      </c>
      <c r="X61" s="9">
        <v>3</v>
      </c>
      <c r="Y61" s="9">
        <v>1</v>
      </c>
      <c r="Z61" s="9">
        <v>3</v>
      </c>
      <c r="AA61" s="9">
        <v>1</v>
      </c>
      <c r="AB61" s="9">
        <v>1</v>
      </c>
      <c r="AC61" s="1">
        <f t="shared" si="10"/>
        <v>14</v>
      </c>
      <c r="AD61" s="1">
        <f t="shared" si="6"/>
        <v>25</v>
      </c>
      <c r="AE61" s="9">
        <v>2</v>
      </c>
      <c r="AF61" s="9">
        <v>1</v>
      </c>
      <c r="AG61" s="9">
        <v>4</v>
      </c>
      <c r="AH61" s="9">
        <v>2</v>
      </c>
      <c r="AI61" s="9">
        <v>3</v>
      </c>
      <c r="AJ61" s="9">
        <v>1</v>
      </c>
      <c r="AK61" s="9">
        <v>2</v>
      </c>
      <c r="AL61" s="9">
        <v>3</v>
      </c>
      <c r="AM61" s="1">
        <f t="shared" si="7"/>
        <v>18</v>
      </c>
      <c r="AN61" s="1">
        <f t="shared" si="8"/>
        <v>31.25</v>
      </c>
      <c r="AQ61" s="1">
        <f t="shared" si="11"/>
        <v>267</v>
      </c>
      <c r="AR61" s="1">
        <f t="shared" si="12"/>
        <v>247.94642857142856</v>
      </c>
      <c r="AS61" s="1">
        <f t="shared" si="9"/>
        <v>514.94642857142856</v>
      </c>
      <c r="AT61" s="1" t="s">
        <v>252</v>
      </c>
      <c r="AU61" s="20">
        <v>1</v>
      </c>
    </row>
    <row r="62" spans="1:47">
      <c r="A62" t="s">
        <v>61</v>
      </c>
      <c r="B62" s="9">
        <v>3</v>
      </c>
      <c r="C62" s="9">
        <v>2</v>
      </c>
      <c r="D62" s="9">
        <v>5</v>
      </c>
      <c r="E62" s="9">
        <v>4</v>
      </c>
      <c r="F62" s="9">
        <v>4</v>
      </c>
      <c r="G62" s="9">
        <v>4</v>
      </c>
      <c r="H62" s="9">
        <v>4</v>
      </c>
      <c r="I62" s="9">
        <v>3</v>
      </c>
      <c r="J62" s="1">
        <f t="shared" si="2"/>
        <v>29</v>
      </c>
      <c r="K62" s="1">
        <f t="shared" si="3"/>
        <v>65.625</v>
      </c>
      <c r="L62" s="9">
        <v>3</v>
      </c>
      <c r="M62" s="9">
        <v>1</v>
      </c>
      <c r="N62" s="9">
        <v>1</v>
      </c>
      <c r="O62" s="9">
        <v>3</v>
      </c>
      <c r="P62" s="9">
        <v>4</v>
      </c>
      <c r="Q62" s="9">
        <v>3</v>
      </c>
      <c r="R62" s="9">
        <v>1</v>
      </c>
      <c r="S62" s="9">
        <v>1</v>
      </c>
      <c r="T62" s="1">
        <f t="shared" si="4"/>
        <v>17</v>
      </c>
      <c r="U62" s="1">
        <f t="shared" si="5"/>
        <v>28.125</v>
      </c>
      <c r="V62" s="9">
        <v>1</v>
      </c>
      <c r="W62" s="9">
        <v>1</v>
      </c>
      <c r="X62" s="9">
        <v>4</v>
      </c>
      <c r="Y62" s="9">
        <v>1</v>
      </c>
      <c r="Z62" s="9">
        <v>4</v>
      </c>
      <c r="AA62" s="9">
        <v>1</v>
      </c>
      <c r="AB62" s="9">
        <v>1</v>
      </c>
      <c r="AC62" s="1">
        <f t="shared" si="10"/>
        <v>13</v>
      </c>
      <c r="AD62" s="1">
        <f t="shared" si="6"/>
        <v>21.428571428571427</v>
      </c>
      <c r="AE62" s="9">
        <v>3</v>
      </c>
      <c r="AF62" s="9">
        <v>2</v>
      </c>
      <c r="AG62" s="9">
        <v>2</v>
      </c>
      <c r="AH62" s="9">
        <v>2</v>
      </c>
      <c r="AI62" s="9">
        <v>1</v>
      </c>
      <c r="AJ62" s="9">
        <v>3</v>
      </c>
      <c r="AK62" s="9">
        <v>1</v>
      </c>
      <c r="AL62" s="9">
        <v>1</v>
      </c>
      <c r="AM62" s="1">
        <f t="shared" si="7"/>
        <v>15</v>
      </c>
      <c r="AN62" s="1">
        <f t="shared" si="8"/>
        <v>21.875</v>
      </c>
      <c r="AQ62" s="1">
        <f t="shared" si="11"/>
        <v>248.17857142857142</v>
      </c>
      <c r="AR62" s="1">
        <f t="shared" si="12"/>
        <v>208.05357142857142</v>
      </c>
      <c r="AS62" s="1">
        <f t="shared" si="9"/>
        <v>456.23214285714283</v>
      </c>
      <c r="AT62" s="1" t="s">
        <v>253</v>
      </c>
      <c r="AU62" s="20">
        <v>0</v>
      </c>
    </row>
    <row r="63" spans="1:47">
      <c r="A63" t="s">
        <v>62</v>
      </c>
      <c r="B63" s="9">
        <v>4</v>
      </c>
      <c r="C63" s="9">
        <v>4</v>
      </c>
      <c r="D63" s="9">
        <v>5</v>
      </c>
      <c r="E63" s="9">
        <v>4</v>
      </c>
      <c r="F63" s="9">
        <v>5</v>
      </c>
      <c r="G63" s="9">
        <v>5</v>
      </c>
      <c r="H63" s="9">
        <v>5</v>
      </c>
      <c r="I63" s="9">
        <v>5</v>
      </c>
      <c r="J63" s="1">
        <f t="shared" si="2"/>
        <v>37</v>
      </c>
      <c r="K63" s="1">
        <f t="shared" si="3"/>
        <v>90.625</v>
      </c>
      <c r="L63" s="9">
        <v>2</v>
      </c>
      <c r="M63" s="9">
        <v>1</v>
      </c>
      <c r="N63" s="9">
        <v>1</v>
      </c>
      <c r="O63" s="9">
        <v>2</v>
      </c>
      <c r="P63" s="9">
        <v>1</v>
      </c>
      <c r="Q63" s="9">
        <v>2</v>
      </c>
      <c r="R63" s="9">
        <v>1</v>
      </c>
      <c r="S63" s="9">
        <v>1</v>
      </c>
      <c r="T63" s="1">
        <f t="shared" si="4"/>
        <v>11</v>
      </c>
      <c r="U63" s="1">
        <f t="shared" si="5"/>
        <v>9.375</v>
      </c>
      <c r="V63" s="9">
        <v>1</v>
      </c>
      <c r="W63" s="9">
        <v>1</v>
      </c>
      <c r="X63" s="9">
        <v>2</v>
      </c>
      <c r="Y63" s="9">
        <v>1</v>
      </c>
      <c r="Z63" s="9">
        <v>1</v>
      </c>
      <c r="AA63" s="9">
        <v>1</v>
      </c>
      <c r="AB63" s="9">
        <v>2</v>
      </c>
      <c r="AC63" s="1">
        <f t="shared" si="10"/>
        <v>9</v>
      </c>
      <c r="AD63" s="1">
        <f t="shared" si="6"/>
        <v>7.1428571428571423</v>
      </c>
      <c r="AE63" s="9">
        <v>2</v>
      </c>
      <c r="AF63" s="9">
        <v>2</v>
      </c>
      <c r="AG63" s="9">
        <v>3</v>
      </c>
      <c r="AH63" s="9">
        <v>2</v>
      </c>
      <c r="AI63" s="9">
        <v>1</v>
      </c>
      <c r="AJ63" s="9">
        <v>1</v>
      </c>
      <c r="AK63" s="9">
        <v>1</v>
      </c>
      <c r="AL63" s="9">
        <v>1</v>
      </c>
      <c r="AM63" s="1">
        <f t="shared" si="7"/>
        <v>13</v>
      </c>
      <c r="AN63" s="1">
        <f t="shared" si="8"/>
        <v>15.625</v>
      </c>
      <c r="AQ63" s="1">
        <f t="shared" si="11"/>
        <v>234.14285714285714</v>
      </c>
      <c r="AR63" s="1">
        <f t="shared" si="12"/>
        <v>137.19642857142856</v>
      </c>
      <c r="AS63" s="1">
        <f t="shared" si="9"/>
        <v>371.33928571428567</v>
      </c>
      <c r="AT63" s="1" t="s">
        <v>253</v>
      </c>
      <c r="AU63" s="20">
        <v>0</v>
      </c>
    </row>
    <row r="64" spans="1:47">
      <c r="A64" t="s">
        <v>63</v>
      </c>
      <c r="B64" s="9">
        <v>4</v>
      </c>
      <c r="C64" s="9">
        <v>3</v>
      </c>
      <c r="D64" s="9">
        <v>4</v>
      </c>
      <c r="E64" s="9">
        <v>3</v>
      </c>
      <c r="F64" s="9">
        <v>4</v>
      </c>
      <c r="G64" s="9">
        <v>4</v>
      </c>
      <c r="H64" s="9">
        <v>3</v>
      </c>
      <c r="I64" s="9">
        <v>3</v>
      </c>
      <c r="J64" s="1">
        <f t="shared" si="2"/>
        <v>28</v>
      </c>
      <c r="K64" s="1">
        <f t="shared" si="3"/>
        <v>62.5</v>
      </c>
      <c r="L64" s="9">
        <v>3</v>
      </c>
      <c r="M64" s="9">
        <v>1</v>
      </c>
      <c r="N64" s="9">
        <v>2</v>
      </c>
      <c r="O64" s="9">
        <v>1</v>
      </c>
      <c r="P64" s="9">
        <v>2</v>
      </c>
      <c r="Q64" s="9">
        <v>2</v>
      </c>
      <c r="R64" s="9">
        <v>4</v>
      </c>
      <c r="S64" s="9">
        <v>2</v>
      </c>
      <c r="T64" s="1">
        <f t="shared" si="4"/>
        <v>17</v>
      </c>
      <c r="U64" s="1">
        <f t="shared" si="5"/>
        <v>28.125</v>
      </c>
      <c r="V64" s="9">
        <v>1</v>
      </c>
      <c r="W64" s="9">
        <v>1</v>
      </c>
      <c r="X64" s="9">
        <v>1</v>
      </c>
      <c r="Y64" s="9">
        <v>1</v>
      </c>
      <c r="Z64" s="9">
        <v>2</v>
      </c>
      <c r="AA64" s="9">
        <v>1</v>
      </c>
      <c r="AB64" s="9">
        <v>2</v>
      </c>
      <c r="AC64" s="1">
        <f t="shared" si="10"/>
        <v>9</v>
      </c>
      <c r="AD64" s="1">
        <f t="shared" si="6"/>
        <v>7.1428571428571423</v>
      </c>
      <c r="AE64" s="9">
        <v>3</v>
      </c>
      <c r="AF64" s="9">
        <v>3</v>
      </c>
      <c r="AG64" s="9">
        <v>2</v>
      </c>
      <c r="AH64" s="9">
        <v>4</v>
      </c>
      <c r="AI64" s="9">
        <v>2</v>
      </c>
      <c r="AJ64" s="9">
        <v>2</v>
      </c>
      <c r="AK64" s="9">
        <v>2</v>
      </c>
      <c r="AL64" s="9">
        <v>2</v>
      </c>
      <c r="AM64" s="1">
        <f t="shared" si="7"/>
        <v>20</v>
      </c>
      <c r="AN64" s="1">
        <f t="shared" si="8"/>
        <v>37.5</v>
      </c>
      <c r="AQ64" s="1">
        <f t="shared" si="11"/>
        <v>225.76785714285714</v>
      </c>
      <c r="AR64" s="1">
        <f t="shared" si="12"/>
        <v>236.44642857142858</v>
      </c>
      <c r="AS64" s="1">
        <f t="shared" si="9"/>
        <v>462.21428571428572</v>
      </c>
      <c r="AT64" s="1" t="s">
        <v>252</v>
      </c>
      <c r="AU64" s="20">
        <v>1</v>
      </c>
    </row>
    <row r="65" spans="1:47">
      <c r="A65" t="s">
        <v>64</v>
      </c>
      <c r="B65" s="9">
        <v>2</v>
      </c>
      <c r="C65" s="9">
        <v>3</v>
      </c>
      <c r="D65" s="9">
        <v>3</v>
      </c>
      <c r="E65" s="9">
        <v>3</v>
      </c>
      <c r="F65" s="9">
        <v>3</v>
      </c>
      <c r="G65" s="9">
        <v>4</v>
      </c>
      <c r="H65" s="9">
        <v>4</v>
      </c>
      <c r="I65" s="9">
        <v>2</v>
      </c>
      <c r="J65" s="1">
        <f t="shared" si="2"/>
        <v>24</v>
      </c>
      <c r="K65" s="1">
        <f t="shared" si="3"/>
        <v>50</v>
      </c>
      <c r="L65" s="9">
        <v>2</v>
      </c>
      <c r="M65" s="9">
        <v>3</v>
      </c>
      <c r="N65" s="9">
        <v>4</v>
      </c>
      <c r="O65" s="9">
        <v>3</v>
      </c>
      <c r="P65" s="9">
        <v>2</v>
      </c>
      <c r="Q65" s="9">
        <v>3</v>
      </c>
      <c r="R65" s="9">
        <v>3</v>
      </c>
      <c r="S65" s="9">
        <v>3</v>
      </c>
      <c r="T65" s="1">
        <f t="shared" si="4"/>
        <v>23</v>
      </c>
      <c r="U65" s="1">
        <f t="shared" si="5"/>
        <v>46.875</v>
      </c>
      <c r="V65" s="9">
        <v>3</v>
      </c>
      <c r="W65" s="9">
        <v>2</v>
      </c>
      <c r="X65" s="9">
        <v>2</v>
      </c>
      <c r="Y65" s="9">
        <v>1</v>
      </c>
      <c r="Z65" s="9">
        <v>2</v>
      </c>
      <c r="AA65" s="9">
        <v>1</v>
      </c>
      <c r="AB65" s="9">
        <v>3</v>
      </c>
      <c r="AC65" s="1">
        <f t="shared" si="10"/>
        <v>14</v>
      </c>
      <c r="AD65" s="1">
        <f t="shared" si="6"/>
        <v>25</v>
      </c>
      <c r="AE65" s="9">
        <v>3</v>
      </c>
      <c r="AF65" s="9">
        <v>3</v>
      </c>
      <c r="AG65" s="9">
        <v>3</v>
      </c>
      <c r="AH65" s="9">
        <v>2</v>
      </c>
      <c r="AI65" s="9">
        <v>2</v>
      </c>
      <c r="AJ65" s="9">
        <v>2</v>
      </c>
      <c r="AK65" s="9">
        <v>2</v>
      </c>
      <c r="AL65" s="9">
        <v>2</v>
      </c>
      <c r="AM65" s="1">
        <f t="shared" si="7"/>
        <v>19</v>
      </c>
      <c r="AN65" s="1">
        <f t="shared" si="8"/>
        <v>34.375</v>
      </c>
      <c r="AQ65" s="1">
        <f t="shared" si="11"/>
        <v>262.875</v>
      </c>
      <c r="AR65" s="1">
        <f t="shared" si="12"/>
        <v>325.92857142857144</v>
      </c>
      <c r="AS65" s="1">
        <f t="shared" si="9"/>
        <v>588.80357142857144</v>
      </c>
      <c r="AT65" s="1" t="s">
        <v>252</v>
      </c>
      <c r="AU65" s="20">
        <v>1</v>
      </c>
    </row>
    <row r="66" spans="1:47">
      <c r="A66" t="s">
        <v>65</v>
      </c>
      <c r="B66" s="9">
        <v>2</v>
      </c>
      <c r="C66" s="9">
        <v>3</v>
      </c>
      <c r="D66" s="9">
        <v>4</v>
      </c>
      <c r="E66" s="9">
        <v>4</v>
      </c>
      <c r="F66" s="9">
        <v>1</v>
      </c>
      <c r="G66" s="9">
        <v>2</v>
      </c>
      <c r="H66" s="9">
        <v>5</v>
      </c>
      <c r="I66" s="9">
        <v>2</v>
      </c>
      <c r="J66" s="1">
        <f t="shared" si="2"/>
        <v>23</v>
      </c>
      <c r="K66" s="1">
        <f t="shared" si="3"/>
        <v>46.875</v>
      </c>
      <c r="L66" s="9">
        <v>3</v>
      </c>
      <c r="M66" s="9">
        <v>1</v>
      </c>
      <c r="N66" s="9">
        <v>3</v>
      </c>
      <c r="O66" s="9">
        <v>2</v>
      </c>
      <c r="P66" s="9">
        <v>3</v>
      </c>
      <c r="Q66" s="9">
        <v>3</v>
      </c>
      <c r="R66" s="9">
        <v>2</v>
      </c>
      <c r="S66" s="9">
        <v>3</v>
      </c>
      <c r="T66" s="1">
        <f t="shared" si="4"/>
        <v>20</v>
      </c>
      <c r="U66" s="1">
        <f t="shared" si="5"/>
        <v>37.5</v>
      </c>
      <c r="V66" s="9">
        <v>2</v>
      </c>
      <c r="W66" s="9">
        <v>2</v>
      </c>
      <c r="X66" s="9">
        <v>2</v>
      </c>
      <c r="Y66" s="9">
        <v>1</v>
      </c>
      <c r="Z66" s="9">
        <v>3</v>
      </c>
      <c r="AA66" s="9">
        <v>1</v>
      </c>
      <c r="AB66" s="9">
        <v>1</v>
      </c>
      <c r="AC66" s="1">
        <f t="shared" si="10"/>
        <v>12</v>
      </c>
      <c r="AD66" s="1">
        <f t="shared" si="6"/>
        <v>17.857142857142858</v>
      </c>
      <c r="AE66" s="9">
        <v>3</v>
      </c>
      <c r="AF66" s="9">
        <v>2</v>
      </c>
      <c r="AG66" s="9">
        <v>3</v>
      </c>
      <c r="AH66" s="9">
        <v>2</v>
      </c>
      <c r="AI66" s="9">
        <v>2</v>
      </c>
      <c r="AJ66" s="9">
        <v>2</v>
      </c>
      <c r="AK66" s="9">
        <v>3</v>
      </c>
      <c r="AL66" s="9">
        <v>2</v>
      </c>
      <c r="AM66" s="1">
        <f t="shared" si="7"/>
        <v>19</v>
      </c>
      <c r="AN66" s="1">
        <f t="shared" si="8"/>
        <v>34.375</v>
      </c>
      <c r="AO66" t="s">
        <v>244</v>
      </c>
      <c r="AQ66" s="1">
        <f t="shared" si="11"/>
        <v>231.23214285714286</v>
      </c>
      <c r="AR66" s="1">
        <f t="shared" si="12"/>
        <v>273.35714285714283</v>
      </c>
      <c r="AS66" s="1">
        <f t="shared" si="9"/>
        <v>504.58928571428567</v>
      </c>
      <c r="AT66" s="1" t="s">
        <v>252</v>
      </c>
      <c r="AU66" s="20">
        <v>1</v>
      </c>
    </row>
    <row r="67" spans="1:47">
      <c r="A67" t="s">
        <v>66</v>
      </c>
      <c r="B67" s="9">
        <v>3</v>
      </c>
      <c r="C67" s="9">
        <v>2</v>
      </c>
      <c r="D67" s="9">
        <v>3</v>
      </c>
      <c r="E67" s="9">
        <v>4</v>
      </c>
      <c r="F67" s="9">
        <v>5</v>
      </c>
      <c r="G67" s="9">
        <v>5</v>
      </c>
      <c r="H67" s="9">
        <v>4</v>
      </c>
      <c r="I67" s="9">
        <v>3</v>
      </c>
      <c r="J67" s="1">
        <f t="shared" si="2"/>
        <v>29</v>
      </c>
      <c r="K67" s="1">
        <f t="shared" si="3"/>
        <v>65.625</v>
      </c>
      <c r="L67" s="9">
        <v>3</v>
      </c>
      <c r="M67" s="9">
        <v>2</v>
      </c>
      <c r="N67" s="9">
        <v>2</v>
      </c>
      <c r="O67" s="9">
        <v>2</v>
      </c>
      <c r="P67" s="9">
        <v>3</v>
      </c>
      <c r="Q67" s="9">
        <v>4</v>
      </c>
      <c r="R67" s="9">
        <v>2</v>
      </c>
      <c r="S67" s="9">
        <v>1</v>
      </c>
      <c r="T67" s="1">
        <f t="shared" si="4"/>
        <v>19</v>
      </c>
      <c r="U67" s="1">
        <f t="shared" si="5"/>
        <v>34.375</v>
      </c>
      <c r="V67" s="9">
        <v>3</v>
      </c>
      <c r="W67" s="9">
        <v>2</v>
      </c>
      <c r="X67" s="9">
        <v>4</v>
      </c>
      <c r="Y67" s="9">
        <v>1</v>
      </c>
      <c r="Z67" s="9">
        <v>3</v>
      </c>
      <c r="AA67" s="9">
        <v>2</v>
      </c>
      <c r="AB67" s="9">
        <v>1</v>
      </c>
      <c r="AC67" s="1">
        <f t="shared" si="10"/>
        <v>16</v>
      </c>
      <c r="AD67" s="1">
        <f t="shared" si="6"/>
        <v>32.142857142857146</v>
      </c>
      <c r="AE67" s="9">
        <v>1</v>
      </c>
      <c r="AF67" s="9">
        <v>2</v>
      </c>
      <c r="AG67" s="9">
        <v>4</v>
      </c>
      <c r="AH67" s="9">
        <v>3</v>
      </c>
      <c r="AI67" s="9">
        <v>1</v>
      </c>
      <c r="AJ67" s="9">
        <v>3</v>
      </c>
      <c r="AK67" s="9">
        <v>1</v>
      </c>
      <c r="AL67" s="9">
        <v>1</v>
      </c>
      <c r="AM67" s="1">
        <f t="shared" si="7"/>
        <v>16</v>
      </c>
      <c r="AN67" s="1">
        <f t="shared" si="8"/>
        <v>25</v>
      </c>
      <c r="AQ67" s="1">
        <f t="shared" si="11"/>
        <v>276.14285714285717</v>
      </c>
      <c r="AR67" s="1">
        <f t="shared" si="12"/>
        <v>268.85714285714289</v>
      </c>
      <c r="AS67" s="1">
        <f t="shared" si="9"/>
        <v>545</v>
      </c>
      <c r="AT67" s="1" t="s">
        <v>252</v>
      </c>
      <c r="AU67" s="20">
        <v>1</v>
      </c>
    </row>
    <row r="68" spans="1:47">
      <c r="A68" t="s">
        <v>67</v>
      </c>
      <c r="B68" s="9">
        <v>2</v>
      </c>
      <c r="C68" s="9">
        <v>2</v>
      </c>
      <c r="D68" s="9">
        <v>5</v>
      </c>
      <c r="E68" s="9">
        <v>3</v>
      </c>
      <c r="F68" s="9">
        <v>3</v>
      </c>
      <c r="G68" s="9">
        <v>3</v>
      </c>
      <c r="H68" s="9">
        <v>5</v>
      </c>
      <c r="I68" s="9">
        <v>3</v>
      </c>
      <c r="J68" s="1">
        <f t="shared" si="2"/>
        <v>26</v>
      </c>
      <c r="K68" s="1">
        <f t="shared" si="3"/>
        <v>56.25</v>
      </c>
      <c r="L68" s="9">
        <v>3</v>
      </c>
      <c r="M68" s="9">
        <v>1</v>
      </c>
      <c r="N68" s="9">
        <v>3</v>
      </c>
      <c r="O68" s="9">
        <v>3</v>
      </c>
      <c r="P68" s="9">
        <v>4</v>
      </c>
      <c r="Q68" s="9">
        <v>3</v>
      </c>
      <c r="R68" s="9">
        <v>1</v>
      </c>
      <c r="S68" s="9">
        <v>3</v>
      </c>
      <c r="T68" s="1">
        <f t="shared" si="4"/>
        <v>21</v>
      </c>
      <c r="U68" s="1">
        <f t="shared" si="5"/>
        <v>40.625</v>
      </c>
      <c r="V68" s="9">
        <v>3</v>
      </c>
      <c r="W68" s="9">
        <v>3</v>
      </c>
      <c r="X68" s="9">
        <v>2</v>
      </c>
      <c r="Y68" s="9">
        <v>2</v>
      </c>
      <c r="Z68" s="9">
        <v>3</v>
      </c>
      <c r="AA68" s="9">
        <v>2</v>
      </c>
      <c r="AB68" s="9">
        <v>1</v>
      </c>
      <c r="AC68" s="1">
        <f t="shared" si="10"/>
        <v>16</v>
      </c>
      <c r="AD68" s="1">
        <f t="shared" si="6"/>
        <v>32.142857142857146</v>
      </c>
      <c r="AE68" s="9">
        <v>1</v>
      </c>
      <c r="AF68" s="9">
        <v>1</v>
      </c>
      <c r="AG68" s="9">
        <v>2</v>
      </c>
      <c r="AH68" s="9">
        <v>1</v>
      </c>
      <c r="AI68" s="9">
        <v>1</v>
      </c>
      <c r="AJ68" s="9">
        <v>1</v>
      </c>
      <c r="AK68" s="9">
        <v>2</v>
      </c>
      <c r="AL68" s="9">
        <v>1</v>
      </c>
      <c r="AM68" s="1">
        <f t="shared" si="7"/>
        <v>10</v>
      </c>
      <c r="AN68" s="1">
        <f t="shared" si="8"/>
        <v>6.25</v>
      </c>
      <c r="AO68" t="s">
        <v>245</v>
      </c>
      <c r="AQ68" s="1">
        <f t="shared" si="11"/>
        <v>265.01785714285711</v>
      </c>
      <c r="AR68" s="1">
        <f t="shared" si="12"/>
        <v>249.39285714285714</v>
      </c>
      <c r="AS68" s="1">
        <f t="shared" si="9"/>
        <v>514.41071428571422</v>
      </c>
      <c r="AT68" s="1" t="s">
        <v>252</v>
      </c>
      <c r="AU68" s="20">
        <v>1</v>
      </c>
    </row>
    <row r="69" spans="1:47">
      <c r="A69" t="s">
        <v>68</v>
      </c>
      <c r="B69" s="9">
        <v>3</v>
      </c>
      <c r="C69" s="9">
        <v>4</v>
      </c>
      <c r="D69" s="9">
        <v>4</v>
      </c>
      <c r="E69" s="9">
        <v>4</v>
      </c>
      <c r="F69" s="9">
        <v>4</v>
      </c>
      <c r="G69" s="9">
        <v>3</v>
      </c>
      <c r="H69" s="9">
        <v>4</v>
      </c>
      <c r="I69" s="9">
        <v>4</v>
      </c>
      <c r="J69" s="1">
        <f t="shared" si="2"/>
        <v>30</v>
      </c>
      <c r="K69" s="1">
        <f t="shared" si="3"/>
        <v>68.75</v>
      </c>
      <c r="L69" s="9">
        <v>2</v>
      </c>
      <c r="M69" s="9">
        <v>1</v>
      </c>
      <c r="N69" s="9">
        <v>1</v>
      </c>
      <c r="O69" s="9">
        <v>2</v>
      </c>
      <c r="P69" s="9">
        <v>2</v>
      </c>
      <c r="Q69" s="9">
        <v>2</v>
      </c>
      <c r="R69" s="9">
        <v>2</v>
      </c>
      <c r="S69" s="9">
        <v>1</v>
      </c>
      <c r="T69" s="1">
        <f t="shared" si="4"/>
        <v>13</v>
      </c>
      <c r="U69" s="1">
        <f t="shared" si="5"/>
        <v>15.625</v>
      </c>
      <c r="V69" s="9">
        <v>2</v>
      </c>
      <c r="W69" s="9">
        <v>1</v>
      </c>
      <c r="X69" s="9">
        <v>2</v>
      </c>
      <c r="Y69" s="9">
        <v>1</v>
      </c>
      <c r="Z69" s="9">
        <v>2</v>
      </c>
      <c r="AA69" s="9">
        <v>1</v>
      </c>
      <c r="AB69" s="9">
        <v>1</v>
      </c>
      <c r="AC69" s="1">
        <f t="shared" si="10"/>
        <v>10</v>
      </c>
      <c r="AD69" s="1">
        <f t="shared" si="6"/>
        <v>10.714285714285714</v>
      </c>
      <c r="AE69" s="9">
        <v>2</v>
      </c>
      <c r="AF69" s="9">
        <v>1</v>
      </c>
      <c r="AG69" s="9">
        <v>2</v>
      </c>
      <c r="AH69" s="9">
        <v>1</v>
      </c>
      <c r="AI69" s="9">
        <v>1</v>
      </c>
      <c r="AJ69" s="9">
        <v>1</v>
      </c>
      <c r="AK69" s="9">
        <v>1</v>
      </c>
      <c r="AL69" s="9">
        <v>1</v>
      </c>
      <c r="AM69" s="1">
        <f t="shared" si="7"/>
        <v>10</v>
      </c>
      <c r="AN69" s="1">
        <f t="shared" si="8"/>
        <v>6.25</v>
      </c>
      <c r="AO69" t="s">
        <v>244</v>
      </c>
      <c r="AQ69" s="1">
        <f t="shared" ref="AQ69:AQ100" si="13">SUM(B69:AL69)</f>
        <v>211.08928571428572</v>
      </c>
      <c r="AR69" s="1">
        <f t="shared" ref="AR69:AR100" si="14">SUM(B177:AS177)</f>
        <v>124.5</v>
      </c>
      <c r="AS69" s="1">
        <f t="shared" si="9"/>
        <v>335.58928571428572</v>
      </c>
      <c r="AT69" s="1" t="s">
        <v>253</v>
      </c>
      <c r="AU69" s="20">
        <v>0</v>
      </c>
    </row>
    <row r="70" spans="1:47">
      <c r="A70" t="s">
        <v>69</v>
      </c>
      <c r="B70" s="9">
        <v>3</v>
      </c>
      <c r="C70" s="9">
        <v>3</v>
      </c>
      <c r="D70" s="9">
        <v>4</v>
      </c>
      <c r="E70" s="9">
        <v>4</v>
      </c>
      <c r="F70" s="9">
        <v>5</v>
      </c>
      <c r="G70" s="9">
        <v>4</v>
      </c>
      <c r="H70" s="9">
        <v>4</v>
      </c>
      <c r="I70" s="9">
        <v>4</v>
      </c>
      <c r="J70" s="1">
        <f t="shared" ref="J70:J106" si="15">SUM(B70:I70)</f>
        <v>31</v>
      </c>
      <c r="K70" s="1">
        <f t="shared" ref="K70:K106" si="16">((J70-8)/(8*4))*100</f>
        <v>71.875</v>
      </c>
      <c r="L70" s="9">
        <v>3</v>
      </c>
      <c r="M70" s="9">
        <v>1</v>
      </c>
      <c r="N70" s="9">
        <v>1</v>
      </c>
      <c r="O70" s="9">
        <v>1</v>
      </c>
      <c r="P70" s="9">
        <v>2</v>
      </c>
      <c r="Q70" s="9">
        <v>3</v>
      </c>
      <c r="R70" s="9">
        <v>2</v>
      </c>
      <c r="S70" s="9">
        <v>2</v>
      </c>
      <c r="T70" s="1">
        <f t="shared" ref="T70:T106" si="17">SUM(L70:S70)</f>
        <v>15</v>
      </c>
      <c r="U70" s="1">
        <f t="shared" ref="U70:U106" si="18">((T70-8)/(8*4))*100</f>
        <v>21.875</v>
      </c>
      <c r="V70" s="9">
        <v>3</v>
      </c>
      <c r="W70" s="9">
        <v>1</v>
      </c>
      <c r="X70" s="9">
        <v>2</v>
      </c>
      <c r="Y70" s="9">
        <v>1</v>
      </c>
      <c r="Z70" s="9">
        <v>2</v>
      </c>
      <c r="AA70" s="9">
        <v>2</v>
      </c>
      <c r="AB70" s="9">
        <v>2</v>
      </c>
      <c r="AC70" s="1">
        <f t="shared" ref="AC70:AC106" si="19">SUM(V70:AB70)</f>
        <v>13</v>
      </c>
      <c r="AD70" s="1">
        <f t="shared" ref="AD70:AD106" si="20">((AC70-7)/(7*4))*100</f>
        <v>21.428571428571427</v>
      </c>
      <c r="AE70" s="9">
        <v>4</v>
      </c>
      <c r="AF70" s="9">
        <v>4</v>
      </c>
      <c r="AG70" s="9">
        <v>2</v>
      </c>
      <c r="AH70" s="9">
        <v>3</v>
      </c>
      <c r="AI70" s="9">
        <v>1</v>
      </c>
      <c r="AJ70" s="9">
        <v>4</v>
      </c>
      <c r="AK70" s="9">
        <v>2</v>
      </c>
      <c r="AL70" s="9">
        <v>2</v>
      </c>
      <c r="AM70" s="1">
        <f t="shared" ref="AM70:AM106" si="21">SUM(AE70:AL70)</f>
        <v>22</v>
      </c>
      <c r="AN70" s="1">
        <f t="shared" ref="AN70:AN106" si="22">((AM70-8)/(8*4))*100</f>
        <v>43.75</v>
      </c>
      <c r="AO70" t="s">
        <v>245</v>
      </c>
      <c r="AQ70" s="1">
        <f t="shared" si="13"/>
        <v>255.17857142857142</v>
      </c>
      <c r="AR70" s="1">
        <f t="shared" si="14"/>
        <v>-100</v>
      </c>
      <c r="AS70" s="1">
        <f t="shared" ref="AS70:AS106" si="23">SUM(AQ70:AR70)</f>
        <v>155.17857142857142</v>
      </c>
      <c r="AT70" s="12" t="s">
        <v>252</v>
      </c>
      <c r="AU70" s="20">
        <v>1</v>
      </c>
    </row>
    <row r="71" spans="1:47">
      <c r="A71" t="s">
        <v>70</v>
      </c>
      <c r="B71" s="9">
        <v>2</v>
      </c>
      <c r="C71" s="9">
        <v>3</v>
      </c>
      <c r="D71" s="9">
        <v>4</v>
      </c>
      <c r="E71" s="9">
        <v>3</v>
      </c>
      <c r="F71" s="9">
        <v>4</v>
      </c>
      <c r="G71" s="9">
        <v>3</v>
      </c>
      <c r="H71" s="9">
        <v>3</v>
      </c>
      <c r="I71" s="9">
        <v>4</v>
      </c>
      <c r="J71" s="1">
        <f t="shared" si="15"/>
        <v>26</v>
      </c>
      <c r="K71" s="1">
        <f t="shared" si="16"/>
        <v>56.25</v>
      </c>
      <c r="L71" s="9">
        <v>2</v>
      </c>
      <c r="M71" s="9">
        <v>2</v>
      </c>
      <c r="N71" s="9">
        <v>2</v>
      </c>
      <c r="O71" s="9">
        <v>2</v>
      </c>
      <c r="P71" s="9">
        <v>1</v>
      </c>
      <c r="Q71" s="9">
        <v>3</v>
      </c>
      <c r="R71" s="9">
        <v>2</v>
      </c>
      <c r="S71" s="9">
        <v>3</v>
      </c>
      <c r="T71" s="1">
        <f t="shared" si="17"/>
        <v>17</v>
      </c>
      <c r="U71" s="1">
        <f t="shared" si="18"/>
        <v>28.125</v>
      </c>
      <c r="V71" s="9">
        <v>1</v>
      </c>
      <c r="W71" s="9">
        <v>1</v>
      </c>
      <c r="X71" s="9">
        <v>1</v>
      </c>
      <c r="Y71" s="9">
        <v>1</v>
      </c>
      <c r="Z71" s="9">
        <v>1</v>
      </c>
      <c r="AA71" s="9">
        <v>1</v>
      </c>
      <c r="AB71" s="9">
        <v>1</v>
      </c>
      <c r="AC71" s="1">
        <f t="shared" si="19"/>
        <v>7</v>
      </c>
      <c r="AD71" s="1">
        <f t="shared" si="20"/>
        <v>0</v>
      </c>
      <c r="AE71" s="9">
        <v>1</v>
      </c>
      <c r="AF71" s="9">
        <v>2</v>
      </c>
      <c r="AG71" s="9">
        <v>3</v>
      </c>
      <c r="AH71" s="9">
        <v>2</v>
      </c>
      <c r="AI71" s="9">
        <v>1</v>
      </c>
      <c r="AJ71" s="9">
        <v>1</v>
      </c>
      <c r="AK71" s="9">
        <v>3</v>
      </c>
      <c r="AL71" s="9">
        <v>3</v>
      </c>
      <c r="AM71" s="1">
        <f t="shared" si="21"/>
        <v>16</v>
      </c>
      <c r="AN71" s="1">
        <f t="shared" si="22"/>
        <v>25</v>
      </c>
      <c r="AQ71" s="1">
        <f t="shared" si="13"/>
        <v>200.375</v>
      </c>
      <c r="AR71" s="1">
        <f t="shared" si="14"/>
        <v>161.03571428571425</v>
      </c>
      <c r="AS71" s="1">
        <f t="shared" si="23"/>
        <v>361.41071428571422</v>
      </c>
      <c r="AT71" s="12" t="s">
        <v>252</v>
      </c>
      <c r="AU71" s="20">
        <v>1</v>
      </c>
    </row>
    <row r="72" spans="1:47">
      <c r="A72" t="s">
        <v>71</v>
      </c>
      <c r="B72" s="9">
        <v>2</v>
      </c>
      <c r="C72" s="9">
        <v>1</v>
      </c>
      <c r="D72" s="9">
        <v>2</v>
      </c>
      <c r="E72" s="9">
        <v>4</v>
      </c>
      <c r="F72" s="9">
        <v>5</v>
      </c>
      <c r="G72" s="9">
        <v>3</v>
      </c>
      <c r="H72" s="9">
        <v>2</v>
      </c>
      <c r="I72" s="9">
        <v>1</v>
      </c>
      <c r="J72" s="1">
        <f t="shared" si="15"/>
        <v>20</v>
      </c>
      <c r="K72" s="1">
        <f t="shared" si="16"/>
        <v>37.5</v>
      </c>
      <c r="L72" s="9">
        <v>4</v>
      </c>
      <c r="M72" s="9">
        <v>1</v>
      </c>
      <c r="N72" s="9">
        <v>1</v>
      </c>
      <c r="O72" s="9">
        <v>4</v>
      </c>
      <c r="P72" s="9">
        <v>5</v>
      </c>
      <c r="Q72" s="9">
        <v>5</v>
      </c>
      <c r="R72" s="9">
        <v>4</v>
      </c>
      <c r="S72" s="9">
        <v>5</v>
      </c>
      <c r="T72" s="1">
        <f t="shared" si="17"/>
        <v>29</v>
      </c>
      <c r="U72" s="1">
        <f t="shared" si="18"/>
        <v>65.625</v>
      </c>
      <c r="V72" s="9">
        <v>3</v>
      </c>
      <c r="W72" s="9">
        <v>1</v>
      </c>
      <c r="X72" s="9">
        <v>2</v>
      </c>
      <c r="Y72" s="9">
        <v>1</v>
      </c>
      <c r="Z72" s="9">
        <v>5</v>
      </c>
      <c r="AA72" s="9">
        <v>5</v>
      </c>
      <c r="AB72" s="9">
        <v>5</v>
      </c>
      <c r="AC72" s="1">
        <f t="shared" si="19"/>
        <v>22</v>
      </c>
      <c r="AD72" s="1">
        <f t="shared" si="20"/>
        <v>53.571428571428569</v>
      </c>
      <c r="AE72" s="9">
        <v>2</v>
      </c>
      <c r="AF72" s="9">
        <v>5</v>
      </c>
      <c r="AG72" s="9">
        <v>5</v>
      </c>
      <c r="AH72" s="9">
        <v>1</v>
      </c>
      <c r="AI72" s="9">
        <v>1</v>
      </c>
      <c r="AJ72" s="9">
        <v>1</v>
      </c>
      <c r="AK72" s="9">
        <v>1</v>
      </c>
      <c r="AL72" s="9">
        <v>5</v>
      </c>
      <c r="AM72" s="1">
        <f t="shared" si="21"/>
        <v>21</v>
      </c>
      <c r="AN72" s="1">
        <f t="shared" si="22"/>
        <v>40.625</v>
      </c>
      <c r="AQ72" s="1">
        <f t="shared" si="13"/>
        <v>319.69642857142856</v>
      </c>
      <c r="AR72" s="1">
        <f t="shared" si="14"/>
        <v>351.32142857142856</v>
      </c>
      <c r="AS72" s="1">
        <f t="shared" si="23"/>
        <v>671.01785714285711</v>
      </c>
      <c r="AT72" s="1" t="s">
        <v>252</v>
      </c>
      <c r="AU72" s="20">
        <v>1</v>
      </c>
    </row>
    <row r="73" spans="1:47">
      <c r="A73" t="s">
        <v>209</v>
      </c>
      <c r="B73" s="9">
        <v>2</v>
      </c>
      <c r="C73" s="9">
        <v>2</v>
      </c>
      <c r="D73" s="9">
        <v>3</v>
      </c>
      <c r="E73" s="9">
        <v>2</v>
      </c>
      <c r="F73" s="9">
        <v>4</v>
      </c>
      <c r="G73" s="9">
        <v>2</v>
      </c>
      <c r="H73" s="9">
        <v>5</v>
      </c>
      <c r="I73" s="9">
        <v>3</v>
      </c>
      <c r="J73" s="1">
        <f t="shared" si="15"/>
        <v>23</v>
      </c>
      <c r="K73" s="1">
        <f t="shared" si="16"/>
        <v>46.875</v>
      </c>
      <c r="L73" s="9">
        <v>4</v>
      </c>
      <c r="M73" s="9">
        <v>1</v>
      </c>
      <c r="N73" s="9">
        <v>3</v>
      </c>
      <c r="O73" s="9">
        <v>5</v>
      </c>
      <c r="P73" s="9">
        <v>1</v>
      </c>
      <c r="Q73" s="9">
        <v>5</v>
      </c>
      <c r="R73" s="9">
        <v>2</v>
      </c>
      <c r="S73" s="9">
        <v>1</v>
      </c>
      <c r="T73" s="1">
        <f t="shared" si="17"/>
        <v>22</v>
      </c>
      <c r="U73" s="1">
        <f t="shared" si="18"/>
        <v>43.75</v>
      </c>
      <c r="V73" s="9">
        <v>4</v>
      </c>
      <c r="W73" s="9">
        <v>4</v>
      </c>
      <c r="X73" s="9">
        <v>4</v>
      </c>
      <c r="Y73" s="9">
        <v>1</v>
      </c>
      <c r="Z73" s="9">
        <v>1</v>
      </c>
      <c r="AA73" s="9">
        <v>2</v>
      </c>
      <c r="AB73" s="9">
        <v>1</v>
      </c>
      <c r="AC73" s="1">
        <f t="shared" si="19"/>
        <v>17</v>
      </c>
      <c r="AD73" s="1">
        <f t="shared" si="20"/>
        <v>35.714285714285715</v>
      </c>
      <c r="AE73" s="9">
        <v>1</v>
      </c>
      <c r="AF73" s="9">
        <v>2</v>
      </c>
      <c r="AG73" s="9">
        <v>4</v>
      </c>
      <c r="AH73" s="9">
        <v>2</v>
      </c>
      <c r="AI73" s="9">
        <v>2</v>
      </c>
      <c r="AJ73" s="9">
        <v>2</v>
      </c>
      <c r="AK73" s="9">
        <v>4</v>
      </c>
      <c r="AL73" s="9">
        <v>1</v>
      </c>
      <c r="AM73" s="1">
        <f t="shared" si="21"/>
        <v>18</v>
      </c>
      <c r="AN73" s="1">
        <f t="shared" si="22"/>
        <v>31.25</v>
      </c>
      <c r="AQ73" s="1">
        <f t="shared" si="13"/>
        <v>268.33928571428572</v>
      </c>
      <c r="AR73" s="1">
        <f t="shared" si="14"/>
        <v>237.14285714285714</v>
      </c>
      <c r="AS73" s="1">
        <f t="shared" si="23"/>
        <v>505.48214285714289</v>
      </c>
      <c r="AT73" s="1" t="s">
        <v>252</v>
      </c>
      <c r="AU73" s="20">
        <v>1</v>
      </c>
    </row>
    <row r="74" spans="1:47">
      <c r="A74" t="s">
        <v>210</v>
      </c>
      <c r="B74" s="9">
        <v>4</v>
      </c>
      <c r="C74" s="9">
        <v>3</v>
      </c>
      <c r="D74" s="9">
        <v>4</v>
      </c>
      <c r="E74" s="9">
        <v>4</v>
      </c>
      <c r="F74" s="9">
        <v>5</v>
      </c>
      <c r="G74" s="9">
        <v>4</v>
      </c>
      <c r="H74" s="9">
        <v>2</v>
      </c>
      <c r="I74" s="9">
        <v>4</v>
      </c>
      <c r="J74" s="1">
        <f t="shared" si="15"/>
        <v>30</v>
      </c>
      <c r="K74" s="1">
        <f t="shared" si="16"/>
        <v>68.75</v>
      </c>
      <c r="L74" s="9">
        <v>3</v>
      </c>
      <c r="M74" s="9">
        <v>2</v>
      </c>
      <c r="N74" s="9">
        <v>2</v>
      </c>
      <c r="O74" s="9">
        <v>3</v>
      </c>
      <c r="P74" s="9">
        <v>2</v>
      </c>
      <c r="Q74" s="9">
        <v>2</v>
      </c>
      <c r="R74" s="9">
        <v>2</v>
      </c>
      <c r="S74" s="9">
        <v>2</v>
      </c>
      <c r="T74" s="1">
        <f t="shared" si="17"/>
        <v>18</v>
      </c>
      <c r="U74" s="1">
        <f t="shared" si="18"/>
        <v>31.25</v>
      </c>
      <c r="V74" s="9">
        <v>2</v>
      </c>
      <c r="W74" s="9">
        <v>2</v>
      </c>
      <c r="X74" s="9">
        <v>3</v>
      </c>
      <c r="Y74" s="9">
        <v>1</v>
      </c>
      <c r="Z74" s="9">
        <v>2</v>
      </c>
      <c r="AA74" s="9">
        <v>1</v>
      </c>
      <c r="AB74" s="9">
        <v>1</v>
      </c>
      <c r="AC74" s="1">
        <f t="shared" si="19"/>
        <v>12</v>
      </c>
      <c r="AD74" s="1">
        <f t="shared" si="20"/>
        <v>17.857142857142858</v>
      </c>
      <c r="AE74" s="9">
        <v>2</v>
      </c>
      <c r="AF74" s="9">
        <v>2</v>
      </c>
      <c r="AG74" s="9">
        <v>2</v>
      </c>
      <c r="AH74" s="9">
        <v>2</v>
      </c>
      <c r="AI74" s="9">
        <v>1</v>
      </c>
      <c r="AJ74" s="9">
        <v>1</v>
      </c>
      <c r="AK74" s="9">
        <v>3</v>
      </c>
      <c r="AL74" s="9">
        <v>2</v>
      </c>
      <c r="AM74" s="1">
        <f t="shared" si="21"/>
        <v>15</v>
      </c>
      <c r="AN74" s="1">
        <f t="shared" si="22"/>
        <v>21.875</v>
      </c>
      <c r="AQ74" s="1">
        <f t="shared" si="13"/>
        <v>252.85714285714286</v>
      </c>
      <c r="AR74" s="1">
        <f t="shared" si="14"/>
        <v>298.625</v>
      </c>
      <c r="AS74" s="1">
        <f t="shared" si="23"/>
        <v>551.48214285714289</v>
      </c>
      <c r="AT74" s="1" t="s">
        <v>252</v>
      </c>
      <c r="AU74" s="20">
        <v>1</v>
      </c>
    </row>
    <row r="75" spans="1:47">
      <c r="A75" t="s">
        <v>211</v>
      </c>
      <c r="B75" s="9">
        <v>5</v>
      </c>
      <c r="C75" s="9">
        <v>5</v>
      </c>
      <c r="D75" s="9">
        <v>5</v>
      </c>
      <c r="E75" s="9">
        <v>5</v>
      </c>
      <c r="F75" s="9">
        <v>5</v>
      </c>
      <c r="G75" s="9">
        <v>5</v>
      </c>
      <c r="H75" s="9">
        <v>4</v>
      </c>
      <c r="I75" s="9">
        <v>5</v>
      </c>
      <c r="J75" s="1">
        <f t="shared" si="15"/>
        <v>39</v>
      </c>
      <c r="K75" s="1">
        <f t="shared" si="16"/>
        <v>96.875</v>
      </c>
      <c r="L75" s="9">
        <v>1</v>
      </c>
      <c r="M75" s="9">
        <v>1</v>
      </c>
      <c r="N75" s="9">
        <v>1</v>
      </c>
      <c r="O75" s="9">
        <v>1</v>
      </c>
      <c r="P75" s="9">
        <v>1</v>
      </c>
      <c r="Q75" s="9">
        <v>2</v>
      </c>
      <c r="R75" s="9">
        <v>1</v>
      </c>
      <c r="S75" s="9">
        <v>1</v>
      </c>
      <c r="T75" s="1">
        <f t="shared" si="17"/>
        <v>9</v>
      </c>
      <c r="U75" s="1">
        <f t="shared" si="18"/>
        <v>3.125</v>
      </c>
      <c r="V75" s="9">
        <v>1</v>
      </c>
      <c r="W75" s="9">
        <v>1</v>
      </c>
      <c r="X75" s="9">
        <v>1</v>
      </c>
      <c r="Y75" s="9">
        <v>1</v>
      </c>
      <c r="Z75" s="9">
        <v>1</v>
      </c>
      <c r="AA75" s="9">
        <v>1</v>
      </c>
      <c r="AB75" s="9">
        <v>1</v>
      </c>
      <c r="AC75" s="1">
        <f t="shared" si="19"/>
        <v>7</v>
      </c>
      <c r="AD75" s="1">
        <f t="shared" si="20"/>
        <v>0</v>
      </c>
      <c r="AE75" s="9">
        <v>2</v>
      </c>
      <c r="AF75" s="9">
        <v>1</v>
      </c>
      <c r="AG75" s="9">
        <v>2</v>
      </c>
      <c r="AH75" s="9">
        <v>1</v>
      </c>
      <c r="AI75" s="9">
        <v>1</v>
      </c>
      <c r="AJ75" s="9">
        <v>1</v>
      </c>
      <c r="AK75" s="9">
        <v>1</v>
      </c>
      <c r="AL75" s="9">
        <v>1</v>
      </c>
      <c r="AM75" s="1">
        <f t="shared" si="21"/>
        <v>10</v>
      </c>
      <c r="AN75" s="1">
        <f t="shared" si="22"/>
        <v>6.25</v>
      </c>
      <c r="AQ75" s="1">
        <f t="shared" si="13"/>
        <v>220</v>
      </c>
      <c r="AR75" s="1">
        <f t="shared" si="14"/>
        <v>80.696428571428569</v>
      </c>
      <c r="AS75" s="1">
        <f t="shared" si="23"/>
        <v>300.69642857142856</v>
      </c>
      <c r="AT75" s="1" t="s">
        <v>253</v>
      </c>
      <c r="AU75" s="20">
        <v>0</v>
      </c>
    </row>
    <row r="76" spans="1:47">
      <c r="A76" t="s">
        <v>212</v>
      </c>
      <c r="B76" s="9">
        <v>4</v>
      </c>
      <c r="C76" s="9">
        <v>4</v>
      </c>
      <c r="D76" s="9">
        <v>5</v>
      </c>
      <c r="E76" s="9">
        <v>4</v>
      </c>
      <c r="F76" s="9">
        <v>3</v>
      </c>
      <c r="G76" s="9">
        <v>4</v>
      </c>
      <c r="H76" s="9">
        <v>3</v>
      </c>
      <c r="I76" s="9">
        <v>3</v>
      </c>
      <c r="J76" s="1">
        <f t="shared" si="15"/>
        <v>30</v>
      </c>
      <c r="K76" s="1">
        <f t="shared" si="16"/>
        <v>68.75</v>
      </c>
      <c r="L76" s="9">
        <v>3</v>
      </c>
      <c r="M76" s="9">
        <v>3</v>
      </c>
      <c r="N76" s="9">
        <v>3</v>
      </c>
      <c r="O76" s="9">
        <v>3</v>
      </c>
      <c r="P76" s="9">
        <v>4</v>
      </c>
      <c r="Q76" s="9">
        <v>2</v>
      </c>
      <c r="R76" s="9">
        <v>2</v>
      </c>
      <c r="S76" s="9">
        <v>4</v>
      </c>
      <c r="T76" s="1">
        <f t="shared" si="17"/>
        <v>24</v>
      </c>
      <c r="U76" s="1">
        <f t="shared" si="18"/>
        <v>50</v>
      </c>
      <c r="V76" s="9">
        <v>4</v>
      </c>
      <c r="W76" s="9">
        <v>3</v>
      </c>
      <c r="X76" s="9">
        <v>4</v>
      </c>
      <c r="Y76" s="9">
        <v>3</v>
      </c>
      <c r="Z76" s="9">
        <v>4</v>
      </c>
      <c r="AA76" s="9">
        <v>3</v>
      </c>
      <c r="AB76" s="9">
        <v>3</v>
      </c>
      <c r="AC76" s="1">
        <f t="shared" si="19"/>
        <v>24</v>
      </c>
      <c r="AD76" s="1">
        <f t="shared" si="20"/>
        <v>60.714285714285708</v>
      </c>
      <c r="AE76" s="9">
        <v>2</v>
      </c>
      <c r="AF76" s="9">
        <v>2</v>
      </c>
      <c r="AG76" s="9">
        <v>3</v>
      </c>
      <c r="AH76" s="9">
        <v>1</v>
      </c>
      <c r="AI76" s="9">
        <v>2</v>
      </c>
      <c r="AJ76" s="9">
        <v>1</v>
      </c>
      <c r="AK76" s="9">
        <v>2</v>
      </c>
      <c r="AL76" s="9">
        <v>3</v>
      </c>
      <c r="AM76" s="1">
        <f t="shared" si="21"/>
        <v>16</v>
      </c>
      <c r="AN76" s="1">
        <f t="shared" si="22"/>
        <v>25</v>
      </c>
      <c r="AQ76" s="1">
        <f t="shared" si="13"/>
        <v>351.46428571428572</v>
      </c>
      <c r="AR76" s="1">
        <f t="shared" si="14"/>
        <v>236.10714285714283</v>
      </c>
      <c r="AS76" s="1">
        <f t="shared" si="23"/>
        <v>587.57142857142856</v>
      </c>
      <c r="AT76" s="1" t="s">
        <v>252</v>
      </c>
      <c r="AU76" s="20">
        <v>1</v>
      </c>
    </row>
    <row r="77" spans="1:47">
      <c r="A77" t="s">
        <v>213</v>
      </c>
      <c r="B77" s="9">
        <v>3</v>
      </c>
      <c r="C77" s="9">
        <v>4</v>
      </c>
      <c r="D77" s="9">
        <v>5</v>
      </c>
      <c r="E77" s="9">
        <v>5</v>
      </c>
      <c r="F77" s="9">
        <v>4</v>
      </c>
      <c r="G77" s="9">
        <v>3</v>
      </c>
      <c r="H77" s="9">
        <v>3</v>
      </c>
      <c r="I77" s="9">
        <v>3</v>
      </c>
      <c r="J77" s="1">
        <f t="shared" si="15"/>
        <v>30</v>
      </c>
      <c r="K77" s="1">
        <f t="shared" si="16"/>
        <v>68.75</v>
      </c>
      <c r="L77" s="9">
        <v>2</v>
      </c>
      <c r="M77" s="9">
        <v>1</v>
      </c>
      <c r="N77" s="9">
        <v>1</v>
      </c>
      <c r="O77" s="9">
        <v>1</v>
      </c>
      <c r="P77" s="9">
        <v>2</v>
      </c>
      <c r="Q77" s="9">
        <v>1</v>
      </c>
      <c r="R77" s="9">
        <v>1</v>
      </c>
      <c r="S77" s="9">
        <v>1</v>
      </c>
      <c r="T77" s="1">
        <f t="shared" si="17"/>
        <v>10</v>
      </c>
      <c r="U77" s="1">
        <f t="shared" si="18"/>
        <v>6.25</v>
      </c>
      <c r="V77" s="9">
        <v>1</v>
      </c>
      <c r="W77" s="9">
        <v>1</v>
      </c>
      <c r="X77" s="9">
        <v>1</v>
      </c>
      <c r="Y77" s="9">
        <v>1</v>
      </c>
      <c r="Z77" s="9">
        <v>2</v>
      </c>
      <c r="AA77" s="9">
        <v>1</v>
      </c>
      <c r="AB77" s="9">
        <v>1</v>
      </c>
      <c r="AC77" s="1">
        <f t="shared" si="19"/>
        <v>8</v>
      </c>
      <c r="AD77" s="1">
        <f t="shared" si="20"/>
        <v>3.5714285714285712</v>
      </c>
      <c r="AE77" s="9">
        <v>1</v>
      </c>
      <c r="AF77" s="9">
        <v>1</v>
      </c>
      <c r="AG77" s="9">
        <v>5</v>
      </c>
      <c r="AH77" s="9">
        <v>1</v>
      </c>
      <c r="AI77" s="9">
        <v>1</v>
      </c>
      <c r="AJ77" s="9">
        <v>1</v>
      </c>
      <c r="AK77" s="9">
        <v>3</v>
      </c>
      <c r="AL77" s="9">
        <v>1</v>
      </c>
      <c r="AM77" s="1">
        <f t="shared" si="21"/>
        <v>14</v>
      </c>
      <c r="AN77" s="1">
        <f t="shared" si="22"/>
        <v>18.75</v>
      </c>
      <c r="AQ77" s="1">
        <f t="shared" si="13"/>
        <v>188.57142857142858</v>
      </c>
      <c r="AR77" s="1">
        <f t="shared" si="14"/>
        <v>187.98214285714286</v>
      </c>
      <c r="AS77" s="1">
        <f t="shared" si="23"/>
        <v>376.55357142857144</v>
      </c>
      <c r="AT77" s="1" t="s">
        <v>253</v>
      </c>
      <c r="AU77" s="20">
        <v>0</v>
      </c>
    </row>
    <row r="78" spans="1:47">
      <c r="A78" t="s">
        <v>214</v>
      </c>
      <c r="B78" s="9">
        <v>3</v>
      </c>
      <c r="C78" s="9">
        <v>2</v>
      </c>
      <c r="D78" s="9">
        <v>2</v>
      </c>
      <c r="E78" s="9">
        <v>4</v>
      </c>
      <c r="F78" s="9">
        <v>4</v>
      </c>
      <c r="G78" s="9">
        <v>4</v>
      </c>
      <c r="H78" s="9">
        <v>4</v>
      </c>
      <c r="I78" s="9">
        <v>3</v>
      </c>
      <c r="J78" s="1">
        <f t="shared" si="15"/>
        <v>26</v>
      </c>
      <c r="K78" s="1">
        <f t="shared" si="16"/>
        <v>56.25</v>
      </c>
      <c r="L78" s="9">
        <v>2</v>
      </c>
      <c r="M78" s="9">
        <v>1</v>
      </c>
      <c r="N78" s="9">
        <v>1</v>
      </c>
      <c r="O78" s="9">
        <v>4</v>
      </c>
      <c r="P78" s="9">
        <v>1</v>
      </c>
      <c r="Q78" s="9">
        <v>2</v>
      </c>
      <c r="R78" s="9">
        <v>3</v>
      </c>
      <c r="S78" s="9">
        <v>1</v>
      </c>
      <c r="T78" s="1">
        <f t="shared" si="17"/>
        <v>15</v>
      </c>
      <c r="U78" s="1">
        <f t="shared" si="18"/>
        <v>21.875</v>
      </c>
      <c r="V78" s="9">
        <v>2</v>
      </c>
      <c r="W78" s="9">
        <v>1</v>
      </c>
      <c r="X78" s="9">
        <v>2</v>
      </c>
      <c r="Y78" s="9">
        <v>1</v>
      </c>
      <c r="Z78" s="9">
        <v>1</v>
      </c>
      <c r="AA78" s="9">
        <v>1</v>
      </c>
      <c r="AB78" s="9">
        <v>1</v>
      </c>
      <c r="AC78" s="1">
        <f t="shared" si="19"/>
        <v>9</v>
      </c>
      <c r="AD78" s="1">
        <f t="shared" si="20"/>
        <v>7.1428571428571423</v>
      </c>
      <c r="AE78" s="9">
        <v>1</v>
      </c>
      <c r="AF78" s="9">
        <v>1</v>
      </c>
      <c r="AG78" s="9">
        <v>3</v>
      </c>
      <c r="AH78" s="9">
        <v>1</v>
      </c>
      <c r="AI78" s="9">
        <v>2</v>
      </c>
      <c r="AJ78" s="9">
        <v>1</v>
      </c>
      <c r="AK78" s="9">
        <v>1</v>
      </c>
      <c r="AL78" s="9">
        <v>1</v>
      </c>
      <c r="AM78" s="1">
        <f t="shared" si="21"/>
        <v>11</v>
      </c>
      <c r="AN78" s="1">
        <f t="shared" si="22"/>
        <v>9.375</v>
      </c>
      <c r="AQ78" s="1">
        <f t="shared" si="13"/>
        <v>196.26785714285714</v>
      </c>
      <c r="AR78" s="1">
        <f t="shared" si="14"/>
        <v>201.16071428571428</v>
      </c>
      <c r="AS78" s="1">
        <f t="shared" si="23"/>
        <v>397.42857142857144</v>
      </c>
      <c r="AT78" s="1" t="s">
        <v>252</v>
      </c>
      <c r="AU78" s="20">
        <v>1</v>
      </c>
    </row>
    <row r="79" spans="1:47">
      <c r="A79" t="s">
        <v>215</v>
      </c>
      <c r="B79" s="9">
        <v>4</v>
      </c>
      <c r="C79" s="9">
        <v>3</v>
      </c>
      <c r="D79" s="9">
        <v>5</v>
      </c>
      <c r="E79" s="9">
        <v>5</v>
      </c>
      <c r="F79" s="9">
        <v>4</v>
      </c>
      <c r="G79" s="9">
        <v>5</v>
      </c>
      <c r="H79" s="9">
        <v>5</v>
      </c>
      <c r="I79" s="9">
        <v>2</v>
      </c>
      <c r="J79" s="1">
        <f t="shared" si="15"/>
        <v>33</v>
      </c>
      <c r="K79" s="1">
        <f t="shared" si="16"/>
        <v>78.125</v>
      </c>
      <c r="L79" s="9">
        <v>4</v>
      </c>
      <c r="M79" s="9">
        <v>1</v>
      </c>
      <c r="N79" s="9">
        <v>1</v>
      </c>
      <c r="O79" s="9">
        <v>2</v>
      </c>
      <c r="P79" s="9">
        <v>2</v>
      </c>
      <c r="Q79" s="9">
        <v>4</v>
      </c>
      <c r="R79" s="9">
        <v>1</v>
      </c>
      <c r="S79" s="9">
        <v>1</v>
      </c>
      <c r="T79" s="1">
        <f t="shared" si="17"/>
        <v>16</v>
      </c>
      <c r="U79" s="1">
        <f t="shared" si="18"/>
        <v>25</v>
      </c>
      <c r="V79" s="9">
        <v>3</v>
      </c>
      <c r="W79" s="9">
        <v>1</v>
      </c>
      <c r="X79" s="9">
        <v>1</v>
      </c>
      <c r="Y79" s="9">
        <v>1</v>
      </c>
      <c r="Z79" s="9">
        <v>2</v>
      </c>
      <c r="AA79" s="9">
        <v>1</v>
      </c>
      <c r="AB79" s="9">
        <v>1</v>
      </c>
      <c r="AC79" s="1">
        <f t="shared" si="19"/>
        <v>10</v>
      </c>
      <c r="AD79" s="1">
        <f t="shared" si="20"/>
        <v>10.714285714285714</v>
      </c>
      <c r="AE79" s="9">
        <v>3</v>
      </c>
      <c r="AF79" s="9">
        <v>2</v>
      </c>
      <c r="AG79" s="9">
        <v>1</v>
      </c>
      <c r="AH79" s="9">
        <v>5</v>
      </c>
      <c r="AI79" s="9">
        <v>1</v>
      </c>
      <c r="AJ79" s="9">
        <v>5</v>
      </c>
      <c r="AK79" s="9">
        <v>3</v>
      </c>
      <c r="AL79" s="9">
        <v>1</v>
      </c>
      <c r="AM79" s="1">
        <f t="shared" si="21"/>
        <v>21</v>
      </c>
      <c r="AN79" s="1">
        <f t="shared" si="22"/>
        <v>40.625</v>
      </c>
      <c r="AQ79" s="1">
        <f t="shared" si="13"/>
        <v>252.83928571428572</v>
      </c>
      <c r="AR79" s="1">
        <f t="shared" si="14"/>
        <v>152.10714285714286</v>
      </c>
      <c r="AS79" s="1">
        <f t="shared" si="23"/>
        <v>404.94642857142856</v>
      </c>
      <c r="AT79" s="1" t="s">
        <v>252</v>
      </c>
      <c r="AU79" s="20">
        <v>1</v>
      </c>
    </row>
    <row r="80" spans="1:47">
      <c r="A80" t="s">
        <v>216</v>
      </c>
      <c r="B80" s="9">
        <v>3</v>
      </c>
      <c r="C80" s="9">
        <v>2</v>
      </c>
      <c r="D80" s="9">
        <v>5</v>
      </c>
      <c r="E80" s="9">
        <v>4</v>
      </c>
      <c r="F80" s="9">
        <v>5</v>
      </c>
      <c r="G80" s="9">
        <v>4</v>
      </c>
      <c r="H80" s="9"/>
      <c r="I80" s="9">
        <v>1</v>
      </c>
      <c r="J80" s="1">
        <f t="shared" si="15"/>
        <v>24</v>
      </c>
      <c r="K80" s="1">
        <f t="shared" si="16"/>
        <v>50</v>
      </c>
      <c r="L80" s="9">
        <v>4</v>
      </c>
      <c r="M80" s="9">
        <v>3</v>
      </c>
      <c r="N80" s="9">
        <v>2</v>
      </c>
      <c r="O80" s="9">
        <v>2</v>
      </c>
      <c r="P80" s="9">
        <v>2</v>
      </c>
      <c r="Q80" s="9">
        <v>1</v>
      </c>
      <c r="R80" s="9">
        <v>1</v>
      </c>
      <c r="S80" s="9">
        <v>1</v>
      </c>
      <c r="T80" s="1">
        <f t="shared" si="17"/>
        <v>16</v>
      </c>
      <c r="U80" s="1">
        <f t="shared" si="18"/>
        <v>25</v>
      </c>
      <c r="V80" s="9">
        <v>2</v>
      </c>
      <c r="W80" s="9">
        <v>2</v>
      </c>
      <c r="X80" s="9">
        <v>3</v>
      </c>
      <c r="Y80" s="9">
        <v>1</v>
      </c>
      <c r="Z80" s="9">
        <v>2</v>
      </c>
      <c r="AA80" s="9">
        <v>1</v>
      </c>
      <c r="AB80" s="9">
        <v>2</v>
      </c>
      <c r="AC80" s="1">
        <f t="shared" si="19"/>
        <v>13</v>
      </c>
      <c r="AD80" s="1">
        <f t="shared" si="20"/>
        <v>21.428571428571427</v>
      </c>
      <c r="AE80" s="9">
        <v>1</v>
      </c>
      <c r="AF80" s="9">
        <v>1</v>
      </c>
      <c r="AG80" s="9">
        <v>3</v>
      </c>
      <c r="AH80" s="9">
        <v>2</v>
      </c>
      <c r="AI80" s="9">
        <v>2</v>
      </c>
      <c r="AJ80" s="9">
        <v>1</v>
      </c>
      <c r="AK80" s="9">
        <v>1</v>
      </c>
      <c r="AL80" s="9">
        <v>1</v>
      </c>
      <c r="AM80" s="1">
        <f t="shared" si="21"/>
        <v>12</v>
      </c>
      <c r="AN80" s="1">
        <f t="shared" si="22"/>
        <v>12.5</v>
      </c>
      <c r="AQ80" s="1">
        <f t="shared" si="13"/>
        <v>214.42857142857142</v>
      </c>
      <c r="AR80" s="1">
        <f t="shared" si="14"/>
        <v>240.10714285714283</v>
      </c>
      <c r="AS80" s="1">
        <f t="shared" si="23"/>
        <v>454.53571428571422</v>
      </c>
      <c r="AT80" s="1" t="s">
        <v>252</v>
      </c>
      <c r="AU80" s="20">
        <v>1</v>
      </c>
    </row>
    <row r="81" spans="1:47">
      <c r="A81" t="s">
        <v>217</v>
      </c>
      <c r="B81" s="9">
        <v>2</v>
      </c>
      <c r="C81" s="9">
        <v>2</v>
      </c>
      <c r="D81" s="9">
        <v>5</v>
      </c>
      <c r="E81" s="9">
        <v>3</v>
      </c>
      <c r="F81" s="9">
        <v>2</v>
      </c>
      <c r="G81" s="9">
        <v>3</v>
      </c>
      <c r="H81" s="9">
        <v>5</v>
      </c>
      <c r="I81" s="9">
        <v>1</v>
      </c>
      <c r="J81" s="1">
        <f t="shared" si="15"/>
        <v>23</v>
      </c>
      <c r="K81" s="1">
        <f t="shared" si="16"/>
        <v>46.875</v>
      </c>
      <c r="L81" s="9">
        <v>4</v>
      </c>
      <c r="M81" s="9">
        <v>1</v>
      </c>
      <c r="N81" s="9">
        <v>2</v>
      </c>
      <c r="O81" s="9">
        <v>4</v>
      </c>
      <c r="P81" s="9">
        <v>3</v>
      </c>
      <c r="Q81" s="9">
        <v>4</v>
      </c>
      <c r="R81" s="9">
        <v>1</v>
      </c>
      <c r="S81" s="9">
        <v>5</v>
      </c>
      <c r="T81" s="1">
        <f t="shared" si="17"/>
        <v>24</v>
      </c>
      <c r="U81" s="1">
        <f t="shared" si="18"/>
        <v>50</v>
      </c>
      <c r="V81" s="9">
        <v>5</v>
      </c>
      <c r="W81" s="9">
        <v>2</v>
      </c>
      <c r="X81" s="9">
        <v>3</v>
      </c>
      <c r="Y81" s="9">
        <v>1</v>
      </c>
      <c r="Z81" s="9">
        <v>4</v>
      </c>
      <c r="AA81" s="9">
        <v>1</v>
      </c>
      <c r="AB81" s="9">
        <v>1</v>
      </c>
      <c r="AC81" s="1">
        <f t="shared" si="19"/>
        <v>17</v>
      </c>
      <c r="AD81" s="1">
        <f t="shared" si="20"/>
        <v>35.714285714285715</v>
      </c>
      <c r="AE81" s="9">
        <v>1</v>
      </c>
      <c r="AF81" s="9">
        <v>4</v>
      </c>
      <c r="AG81" s="9">
        <v>4</v>
      </c>
      <c r="AH81" s="9">
        <v>2</v>
      </c>
      <c r="AI81" s="9">
        <v>1</v>
      </c>
      <c r="AJ81" s="9">
        <v>1</v>
      </c>
      <c r="AK81" s="9">
        <v>1</v>
      </c>
      <c r="AL81" s="9">
        <v>4</v>
      </c>
      <c r="AM81" s="1">
        <f t="shared" si="21"/>
        <v>18</v>
      </c>
      <c r="AN81" s="1">
        <f t="shared" si="22"/>
        <v>31.25</v>
      </c>
      <c r="AQ81" s="1">
        <f t="shared" si="13"/>
        <v>278.58928571428572</v>
      </c>
      <c r="AR81" s="1">
        <f t="shared" si="14"/>
        <v>322.14285714285717</v>
      </c>
      <c r="AS81" s="1">
        <f t="shared" si="23"/>
        <v>600.73214285714289</v>
      </c>
      <c r="AT81" s="1" t="s">
        <v>252</v>
      </c>
      <c r="AU81" s="20">
        <v>1</v>
      </c>
    </row>
    <row r="82" spans="1:47">
      <c r="A82" t="s">
        <v>218</v>
      </c>
      <c r="B82" s="9">
        <v>3</v>
      </c>
      <c r="C82" s="9">
        <v>3</v>
      </c>
      <c r="D82" s="9">
        <v>3</v>
      </c>
      <c r="E82" s="9">
        <v>3</v>
      </c>
      <c r="F82" s="9">
        <v>2</v>
      </c>
      <c r="G82" s="9">
        <v>4</v>
      </c>
      <c r="H82" s="9">
        <v>4</v>
      </c>
      <c r="I82" s="9">
        <v>2</v>
      </c>
      <c r="J82" s="1">
        <f t="shared" si="15"/>
        <v>24</v>
      </c>
      <c r="K82" s="1">
        <f t="shared" si="16"/>
        <v>50</v>
      </c>
      <c r="L82" s="9">
        <v>2</v>
      </c>
      <c r="M82" s="9">
        <v>1</v>
      </c>
      <c r="N82" s="9">
        <v>2</v>
      </c>
      <c r="O82" s="9">
        <v>3</v>
      </c>
      <c r="P82" s="9">
        <v>2</v>
      </c>
      <c r="Q82" s="9">
        <v>4</v>
      </c>
      <c r="R82" s="9">
        <v>3</v>
      </c>
      <c r="S82" s="9">
        <v>2</v>
      </c>
      <c r="T82" s="1">
        <f t="shared" si="17"/>
        <v>19</v>
      </c>
      <c r="U82" s="1">
        <f t="shared" si="18"/>
        <v>34.375</v>
      </c>
      <c r="V82" s="9">
        <v>4</v>
      </c>
      <c r="W82" s="9">
        <v>2</v>
      </c>
      <c r="X82" s="9">
        <v>3</v>
      </c>
      <c r="Y82" s="9">
        <v>3</v>
      </c>
      <c r="Z82" s="9">
        <v>2</v>
      </c>
      <c r="AA82" s="9">
        <v>3</v>
      </c>
      <c r="AB82" s="9">
        <v>2</v>
      </c>
      <c r="AC82" s="1">
        <f t="shared" si="19"/>
        <v>19</v>
      </c>
      <c r="AD82" s="1">
        <f t="shared" si="20"/>
        <v>42.857142857142854</v>
      </c>
      <c r="AE82" s="9">
        <v>2</v>
      </c>
      <c r="AF82" s="9">
        <v>2</v>
      </c>
      <c r="AG82" s="9">
        <v>4</v>
      </c>
      <c r="AH82" s="9">
        <v>2</v>
      </c>
      <c r="AI82" s="9">
        <v>2</v>
      </c>
      <c r="AJ82" s="9">
        <v>1</v>
      </c>
      <c r="AK82" s="9">
        <v>1</v>
      </c>
      <c r="AL82" s="9">
        <v>1</v>
      </c>
      <c r="AM82" s="1">
        <f t="shared" si="21"/>
        <v>15</v>
      </c>
      <c r="AN82" s="1">
        <f t="shared" si="22"/>
        <v>21.875</v>
      </c>
      <c r="AQ82" s="1">
        <f t="shared" si="13"/>
        <v>266.23214285714289</v>
      </c>
      <c r="AR82" s="1">
        <f t="shared" si="14"/>
        <v>292.96428571428572</v>
      </c>
      <c r="AS82" s="1">
        <f t="shared" si="23"/>
        <v>559.19642857142867</v>
      </c>
      <c r="AT82" s="1" t="s">
        <v>252</v>
      </c>
      <c r="AU82" s="20">
        <v>1</v>
      </c>
    </row>
    <row r="83" spans="1:47">
      <c r="A83" t="s">
        <v>219</v>
      </c>
      <c r="B83" s="9">
        <v>4</v>
      </c>
      <c r="C83" s="9">
        <v>3</v>
      </c>
      <c r="D83" s="9">
        <v>5</v>
      </c>
      <c r="E83" s="9">
        <v>4</v>
      </c>
      <c r="F83" s="9">
        <v>5</v>
      </c>
      <c r="G83" s="9">
        <v>4</v>
      </c>
      <c r="H83" s="9">
        <v>4</v>
      </c>
      <c r="I83" s="9">
        <v>3</v>
      </c>
      <c r="J83" s="1">
        <f t="shared" si="15"/>
        <v>32</v>
      </c>
      <c r="K83" s="1">
        <f t="shared" si="16"/>
        <v>75</v>
      </c>
      <c r="L83" s="9">
        <v>3</v>
      </c>
      <c r="M83" s="9">
        <v>1</v>
      </c>
      <c r="N83" s="9">
        <v>1</v>
      </c>
      <c r="O83" s="9">
        <v>3</v>
      </c>
      <c r="P83" s="9">
        <v>2</v>
      </c>
      <c r="Q83" s="9">
        <v>3</v>
      </c>
      <c r="R83" s="9">
        <v>1</v>
      </c>
      <c r="S83" s="9">
        <v>2</v>
      </c>
      <c r="T83" s="1">
        <f t="shared" si="17"/>
        <v>16</v>
      </c>
      <c r="U83" s="1">
        <f t="shared" si="18"/>
        <v>25</v>
      </c>
      <c r="V83" s="9">
        <v>3</v>
      </c>
      <c r="W83" s="9">
        <v>2</v>
      </c>
      <c r="X83" s="9">
        <v>1</v>
      </c>
      <c r="Y83" s="9">
        <v>1</v>
      </c>
      <c r="Z83" s="9">
        <v>2</v>
      </c>
      <c r="AA83" s="9">
        <v>1</v>
      </c>
      <c r="AB83" s="9">
        <v>1</v>
      </c>
      <c r="AC83" s="1">
        <f t="shared" si="19"/>
        <v>11</v>
      </c>
      <c r="AD83" s="1">
        <f t="shared" si="20"/>
        <v>14.285714285714285</v>
      </c>
      <c r="AE83" s="9">
        <v>2</v>
      </c>
      <c r="AF83" s="9">
        <v>2</v>
      </c>
      <c r="AG83" s="9">
        <v>4</v>
      </c>
      <c r="AH83" s="9">
        <v>2</v>
      </c>
      <c r="AI83" s="9">
        <v>2</v>
      </c>
      <c r="AJ83" s="9">
        <v>3</v>
      </c>
      <c r="AK83" s="9">
        <v>2</v>
      </c>
      <c r="AL83" s="9">
        <v>2</v>
      </c>
      <c r="AM83" s="1">
        <f t="shared" si="21"/>
        <v>19</v>
      </c>
      <c r="AN83" s="1">
        <f t="shared" si="22"/>
        <v>34.375</v>
      </c>
      <c r="AQ83" s="1">
        <f t="shared" si="13"/>
        <v>251.28571428571428</v>
      </c>
      <c r="AR83" s="1">
        <f t="shared" si="14"/>
        <v>184.75</v>
      </c>
      <c r="AS83" s="1">
        <f t="shared" si="23"/>
        <v>436.03571428571428</v>
      </c>
      <c r="AT83" s="1" t="s">
        <v>253</v>
      </c>
      <c r="AU83" s="20">
        <v>0</v>
      </c>
    </row>
    <row r="84" spans="1:47">
      <c r="A84" t="s">
        <v>220</v>
      </c>
      <c r="B84" s="9">
        <v>3</v>
      </c>
      <c r="C84" s="9">
        <v>3</v>
      </c>
      <c r="D84" s="9">
        <v>5</v>
      </c>
      <c r="E84" s="9">
        <v>4</v>
      </c>
      <c r="F84" s="9">
        <v>2</v>
      </c>
      <c r="G84" s="9">
        <v>4</v>
      </c>
      <c r="H84" s="9">
        <v>5</v>
      </c>
      <c r="I84" s="9">
        <v>3</v>
      </c>
      <c r="J84" s="1">
        <f t="shared" si="15"/>
        <v>29</v>
      </c>
      <c r="K84" s="1">
        <f t="shared" si="16"/>
        <v>65.625</v>
      </c>
      <c r="L84" s="9">
        <v>3</v>
      </c>
      <c r="M84" s="9">
        <v>1</v>
      </c>
      <c r="N84" s="9">
        <v>2</v>
      </c>
      <c r="O84" s="9">
        <v>3</v>
      </c>
      <c r="P84" s="9">
        <v>1</v>
      </c>
      <c r="Q84" s="9">
        <v>3</v>
      </c>
      <c r="R84" s="9">
        <v>1</v>
      </c>
      <c r="S84" s="9">
        <v>3</v>
      </c>
      <c r="T84" s="1">
        <f t="shared" si="17"/>
        <v>17</v>
      </c>
      <c r="U84" s="1">
        <f t="shared" si="18"/>
        <v>28.125</v>
      </c>
      <c r="V84" s="9">
        <v>2</v>
      </c>
      <c r="W84" s="9">
        <v>3</v>
      </c>
      <c r="X84" s="9">
        <v>3</v>
      </c>
      <c r="Y84" s="9">
        <v>4</v>
      </c>
      <c r="Z84" s="9">
        <v>1</v>
      </c>
      <c r="AA84" s="9">
        <v>2</v>
      </c>
      <c r="AB84" s="9">
        <v>1</v>
      </c>
      <c r="AC84" s="1">
        <f t="shared" si="19"/>
        <v>16</v>
      </c>
      <c r="AD84" s="1">
        <f t="shared" si="20"/>
        <v>32.142857142857146</v>
      </c>
      <c r="AE84" s="9">
        <v>2</v>
      </c>
      <c r="AF84" s="9">
        <v>3</v>
      </c>
      <c r="AG84" s="9">
        <v>5</v>
      </c>
      <c r="AH84" s="9">
        <v>4</v>
      </c>
      <c r="AI84" s="9">
        <v>2</v>
      </c>
      <c r="AJ84" s="9">
        <v>4</v>
      </c>
      <c r="AK84" s="9">
        <v>2</v>
      </c>
      <c r="AL84" s="9">
        <v>3</v>
      </c>
      <c r="AM84" s="1">
        <f t="shared" si="21"/>
        <v>25</v>
      </c>
      <c r="AN84" s="1">
        <f t="shared" si="22"/>
        <v>53.125</v>
      </c>
      <c r="AQ84" s="1">
        <f t="shared" si="13"/>
        <v>274.89285714285711</v>
      </c>
      <c r="AR84" s="1">
        <f t="shared" si="14"/>
        <v>190.44642857142856</v>
      </c>
      <c r="AS84" s="1">
        <f t="shared" si="23"/>
        <v>465.33928571428567</v>
      </c>
      <c r="AT84" s="1" t="s">
        <v>252</v>
      </c>
      <c r="AU84" s="20">
        <v>1</v>
      </c>
    </row>
    <row r="85" spans="1:47">
      <c r="A85" t="s">
        <v>221</v>
      </c>
      <c r="B85" s="9">
        <v>5</v>
      </c>
      <c r="C85" s="9">
        <v>3</v>
      </c>
      <c r="D85" s="9">
        <v>5</v>
      </c>
      <c r="E85" s="9">
        <v>4</v>
      </c>
      <c r="F85" s="9">
        <v>3</v>
      </c>
      <c r="G85" s="9">
        <v>5</v>
      </c>
      <c r="H85" s="9">
        <v>5</v>
      </c>
      <c r="I85" s="9">
        <v>3</v>
      </c>
      <c r="J85" s="1">
        <f t="shared" si="15"/>
        <v>33</v>
      </c>
      <c r="K85" s="1">
        <f t="shared" si="16"/>
        <v>78.125</v>
      </c>
      <c r="L85" s="9">
        <v>3</v>
      </c>
      <c r="M85" s="9">
        <v>1</v>
      </c>
      <c r="N85" s="9">
        <v>1</v>
      </c>
      <c r="O85" s="9">
        <v>2</v>
      </c>
      <c r="P85" s="9">
        <v>3</v>
      </c>
      <c r="Q85" s="9">
        <v>2</v>
      </c>
      <c r="R85" s="9">
        <v>1</v>
      </c>
      <c r="S85" s="9">
        <v>3</v>
      </c>
      <c r="T85" s="1">
        <f t="shared" si="17"/>
        <v>16</v>
      </c>
      <c r="U85" s="1">
        <f t="shared" si="18"/>
        <v>25</v>
      </c>
      <c r="V85" s="9">
        <v>5</v>
      </c>
      <c r="W85" s="9">
        <v>4</v>
      </c>
      <c r="X85" s="9">
        <v>3</v>
      </c>
      <c r="Y85" s="9">
        <v>2</v>
      </c>
      <c r="Z85" s="9">
        <v>3</v>
      </c>
      <c r="AA85" s="9">
        <v>1</v>
      </c>
      <c r="AB85" s="9">
        <v>4</v>
      </c>
      <c r="AC85" s="1">
        <f t="shared" si="19"/>
        <v>22</v>
      </c>
      <c r="AD85" s="1">
        <f t="shared" si="20"/>
        <v>53.571428571428569</v>
      </c>
      <c r="AE85" s="9">
        <v>2</v>
      </c>
      <c r="AF85" s="9">
        <v>2</v>
      </c>
      <c r="AG85" s="9">
        <v>4</v>
      </c>
      <c r="AH85" s="9">
        <v>2</v>
      </c>
      <c r="AI85" s="9">
        <v>2</v>
      </c>
      <c r="AJ85" s="9">
        <v>2</v>
      </c>
      <c r="AK85" s="9">
        <v>2</v>
      </c>
      <c r="AL85" s="9">
        <v>3</v>
      </c>
      <c r="AM85" s="1">
        <f t="shared" si="21"/>
        <v>19</v>
      </c>
      <c r="AN85" s="1">
        <f t="shared" si="22"/>
        <v>34.375</v>
      </c>
      <c r="AQ85" s="1">
        <f t="shared" si="13"/>
        <v>317.69642857142856</v>
      </c>
      <c r="AR85" s="1">
        <f t="shared" si="14"/>
        <v>193.87499999999997</v>
      </c>
      <c r="AS85" s="1">
        <f t="shared" si="23"/>
        <v>511.57142857142856</v>
      </c>
      <c r="AT85" s="1" t="s">
        <v>252</v>
      </c>
      <c r="AU85" s="20">
        <v>1</v>
      </c>
    </row>
    <row r="86" spans="1:47">
      <c r="A86" t="s">
        <v>222</v>
      </c>
      <c r="B86" s="9">
        <v>2</v>
      </c>
      <c r="C86" s="9">
        <v>3</v>
      </c>
      <c r="D86" s="9">
        <v>3</v>
      </c>
      <c r="E86" s="9">
        <v>4</v>
      </c>
      <c r="F86" s="9">
        <v>5</v>
      </c>
      <c r="G86" s="9">
        <v>3</v>
      </c>
      <c r="H86" s="9">
        <v>4</v>
      </c>
      <c r="I86" s="9">
        <v>2</v>
      </c>
      <c r="J86" s="1">
        <f t="shared" si="15"/>
        <v>26</v>
      </c>
      <c r="K86" s="1">
        <f t="shared" si="16"/>
        <v>56.25</v>
      </c>
      <c r="L86" s="9">
        <v>3</v>
      </c>
      <c r="M86" s="9">
        <v>1</v>
      </c>
      <c r="N86" s="9">
        <v>1</v>
      </c>
      <c r="O86" s="9">
        <v>4</v>
      </c>
      <c r="P86" s="9">
        <v>1</v>
      </c>
      <c r="Q86" s="9">
        <v>4</v>
      </c>
      <c r="R86" s="9">
        <v>2</v>
      </c>
      <c r="S86" s="9">
        <v>4</v>
      </c>
      <c r="T86" s="1">
        <f t="shared" si="17"/>
        <v>20</v>
      </c>
      <c r="U86" s="1">
        <f t="shared" si="18"/>
        <v>37.5</v>
      </c>
      <c r="V86" s="9">
        <v>1</v>
      </c>
      <c r="W86" s="9">
        <v>1</v>
      </c>
      <c r="X86" s="9">
        <v>1</v>
      </c>
      <c r="Y86" s="9">
        <v>1</v>
      </c>
      <c r="Z86" s="9">
        <v>1</v>
      </c>
      <c r="AA86" s="9">
        <v>1</v>
      </c>
      <c r="AB86" s="9">
        <v>1</v>
      </c>
      <c r="AC86" s="1">
        <f t="shared" si="19"/>
        <v>7</v>
      </c>
      <c r="AD86" s="1">
        <f t="shared" si="20"/>
        <v>0</v>
      </c>
      <c r="AE86" s="9">
        <v>1</v>
      </c>
      <c r="AF86" s="9">
        <v>2</v>
      </c>
      <c r="AG86" s="9">
        <v>2</v>
      </c>
      <c r="AH86" s="9">
        <v>3</v>
      </c>
      <c r="AI86" s="9">
        <v>5</v>
      </c>
      <c r="AJ86" s="9">
        <v>4</v>
      </c>
      <c r="AK86" s="9">
        <v>1</v>
      </c>
      <c r="AL86" s="9">
        <v>1</v>
      </c>
      <c r="AM86" s="1">
        <f t="shared" si="21"/>
        <v>19</v>
      </c>
      <c r="AN86" s="1">
        <f t="shared" si="22"/>
        <v>34.375</v>
      </c>
      <c r="AQ86" s="1">
        <f t="shared" si="13"/>
        <v>218.75</v>
      </c>
      <c r="AR86" s="1">
        <f t="shared" si="14"/>
        <v>227.33928571428569</v>
      </c>
      <c r="AS86" s="1">
        <f t="shared" si="23"/>
        <v>446.08928571428567</v>
      </c>
      <c r="AT86" s="12" t="s">
        <v>252</v>
      </c>
      <c r="AU86" s="20">
        <v>1</v>
      </c>
    </row>
    <row r="87" spans="1:47">
      <c r="A87" t="s">
        <v>223</v>
      </c>
      <c r="B87" s="9">
        <v>2</v>
      </c>
      <c r="C87" s="9">
        <v>3</v>
      </c>
      <c r="D87" s="9">
        <v>4</v>
      </c>
      <c r="E87" s="9">
        <v>3</v>
      </c>
      <c r="F87" s="9">
        <v>4</v>
      </c>
      <c r="G87" s="9">
        <v>3</v>
      </c>
      <c r="H87" s="9">
        <v>4</v>
      </c>
      <c r="I87" s="9">
        <v>2</v>
      </c>
      <c r="J87" s="1">
        <f t="shared" si="15"/>
        <v>25</v>
      </c>
      <c r="K87" s="1">
        <f t="shared" si="16"/>
        <v>53.125</v>
      </c>
      <c r="L87" s="9">
        <v>3</v>
      </c>
      <c r="M87" s="9">
        <v>3</v>
      </c>
      <c r="N87" s="9">
        <v>3</v>
      </c>
      <c r="O87" s="9">
        <v>3</v>
      </c>
      <c r="P87" s="9">
        <v>2</v>
      </c>
      <c r="Q87" s="9">
        <v>3</v>
      </c>
      <c r="R87" s="9">
        <v>2</v>
      </c>
      <c r="S87" s="9">
        <v>3</v>
      </c>
      <c r="T87" s="1">
        <f t="shared" si="17"/>
        <v>22</v>
      </c>
      <c r="U87" s="1">
        <f t="shared" si="18"/>
        <v>43.75</v>
      </c>
      <c r="V87" s="9">
        <v>1</v>
      </c>
      <c r="W87" s="9">
        <v>2</v>
      </c>
      <c r="X87" s="9">
        <v>2</v>
      </c>
      <c r="Y87" s="9">
        <v>1</v>
      </c>
      <c r="Z87" s="9">
        <v>2</v>
      </c>
      <c r="AA87" s="9">
        <v>1</v>
      </c>
      <c r="AB87" s="9">
        <v>2</v>
      </c>
      <c r="AC87" s="1">
        <f t="shared" si="19"/>
        <v>11</v>
      </c>
      <c r="AD87" s="1">
        <f t="shared" si="20"/>
        <v>14.285714285714285</v>
      </c>
      <c r="AE87" s="9">
        <v>1</v>
      </c>
      <c r="AF87" s="9">
        <v>2</v>
      </c>
      <c r="AG87" s="9">
        <v>3</v>
      </c>
      <c r="AH87" s="9">
        <v>2</v>
      </c>
      <c r="AI87" s="9">
        <v>2</v>
      </c>
      <c r="AJ87" s="9">
        <v>1</v>
      </c>
      <c r="AK87" s="9">
        <v>3</v>
      </c>
      <c r="AL87" s="9">
        <v>3</v>
      </c>
      <c r="AM87" s="1">
        <f t="shared" si="21"/>
        <v>17</v>
      </c>
      <c r="AN87" s="1">
        <f t="shared" si="22"/>
        <v>28.125</v>
      </c>
      <c r="AQ87" s="1">
        <f t="shared" si="13"/>
        <v>244.16071428571428</v>
      </c>
      <c r="AR87" s="1">
        <f t="shared" si="14"/>
        <v>241.48214285714286</v>
      </c>
      <c r="AS87" s="1">
        <f t="shared" si="23"/>
        <v>485.64285714285711</v>
      </c>
      <c r="AT87" s="1" t="s">
        <v>252</v>
      </c>
      <c r="AU87" s="20">
        <v>1</v>
      </c>
    </row>
    <row r="88" spans="1:47">
      <c r="A88" t="s">
        <v>224</v>
      </c>
      <c r="B88" s="9">
        <v>3</v>
      </c>
      <c r="C88" s="9">
        <v>3</v>
      </c>
      <c r="D88" s="9">
        <v>3</v>
      </c>
      <c r="E88" s="9">
        <v>3</v>
      </c>
      <c r="F88" s="9">
        <v>5</v>
      </c>
      <c r="G88" s="9">
        <v>3</v>
      </c>
      <c r="H88" s="9">
        <v>4</v>
      </c>
      <c r="I88" s="9">
        <v>4</v>
      </c>
      <c r="J88" s="1">
        <f t="shared" si="15"/>
        <v>28</v>
      </c>
      <c r="K88" s="1">
        <f t="shared" si="16"/>
        <v>62.5</v>
      </c>
      <c r="L88" s="9">
        <v>3</v>
      </c>
      <c r="M88" s="9">
        <v>3</v>
      </c>
      <c r="N88" s="9">
        <v>3</v>
      </c>
      <c r="O88" s="9">
        <v>3</v>
      </c>
      <c r="P88" s="9">
        <v>2</v>
      </c>
      <c r="Q88" s="9">
        <v>3</v>
      </c>
      <c r="R88" s="9">
        <v>3</v>
      </c>
      <c r="S88" s="9">
        <v>3</v>
      </c>
      <c r="T88" s="1">
        <f t="shared" si="17"/>
        <v>23</v>
      </c>
      <c r="U88" s="1">
        <f t="shared" si="18"/>
        <v>46.875</v>
      </c>
      <c r="V88" s="9">
        <v>1</v>
      </c>
      <c r="W88" s="9">
        <v>1</v>
      </c>
      <c r="X88" s="9">
        <v>1</v>
      </c>
      <c r="Y88" s="9">
        <v>1</v>
      </c>
      <c r="Z88" s="9">
        <v>2</v>
      </c>
      <c r="AA88" s="9">
        <v>1</v>
      </c>
      <c r="AB88" s="9">
        <v>2</v>
      </c>
      <c r="AC88" s="1">
        <f t="shared" si="19"/>
        <v>9</v>
      </c>
      <c r="AD88" s="1">
        <f t="shared" si="20"/>
        <v>7.1428571428571423</v>
      </c>
      <c r="AE88" s="9">
        <v>5</v>
      </c>
      <c r="AF88" s="9">
        <v>3</v>
      </c>
      <c r="AG88" s="9">
        <v>3</v>
      </c>
      <c r="AH88" s="9">
        <v>1</v>
      </c>
      <c r="AI88" s="9">
        <v>3</v>
      </c>
      <c r="AJ88" s="9">
        <v>4</v>
      </c>
      <c r="AK88" s="9">
        <v>4</v>
      </c>
      <c r="AL88" s="9">
        <v>3</v>
      </c>
      <c r="AM88" s="1">
        <f t="shared" si="21"/>
        <v>26</v>
      </c>
      <c r="AN88" s="1">
        <f t="shared" si="22"/>
        <v>56.25</v>
      </c>
      <c r="AQ88" s="1">
        <f t="shared" si="13"/>
        <v>262.51785714285711</v>
      </c>
      <c r="AR88" s="1">
        <f t="shared" si="14"/>
        <v>160.69642857142856</v>
      </c>
      <c r="AS88" s="1">
        <f t="shared" si="23"/>
        <v>423.21428571428567</v>
      </c>
      <c r="AT88" s="1" t="s">
        <v>252</v>
      </c>
      <c r="AU88" s="20">
        <v>1</v>
      </c>
    </row>
    <row r="89" spans="1:47">
      <c r="A89" t="s">
        <v>225</v>
      </c>
      <c r="B89" s="9">
        <v>3</v>
      </c>
      <c r="C89" s="9">
        <v>3</v>
      </c>
      <c r="D89" s="9">
        <v>4</v>
      </c>
      <c r="E89" s="9">
        <v>4</v>
      </c>
      <c r="F89" s="9">
        <v>4</v>
      </c>
      <c r="G89" s="9">
        <v>4</v>
      </c>
      <c r="H89" s="9">
        <v>4</v>
      </c>
      <c r="I89" s="9">
        <v>3</v>
      </c>
      <c r="J89" s="1">
        <f t="shared" si="15"/>
        <v>29</v>
      </c>
      <c r="K89" s="1">
        <f t="shared" si="16"/>
        <v>65.625</v>
      </c>
      <c r="L89" s="9">
        <v>3</v>
      </c>
      <c r="M89" s="9">
        <v>2</v>
      </c>
      <c r="N89" s="9">
        <v>2</v>
      </c>
      <c r="O89" s="9">
        <v>2</v>
      </c>
      <c r="P89" s="9">
        <v>2</v>
      </c>
      <c r="Q89" s="9">
        <v>3</v>
      </c>
      <c r="R89" s="9">
        <v>2</v>
      </c>
      <c r="S89" s="9">
        <v>2</v>
      </c>
      <c r="T89" s="1">
        <f t="shared" si="17"/>
        <v>18</v>
      </c>
      <c r="U89" s="1">
        <f t="shared" si="18"/>
        <v>31.25</v>
      </c>
      <c r="V89" s="9">
        <v>2</v>
      </c>
      <c r="W89" s="9">
        <v>2</v>
      </c>
      <c r="X89" s="9">
        <v>2</v>
      </c>
      <c r="Y89" s="9">
        <v>1</v>
      </c>
      <c r="Z89" s="9">
        <v>2</v>
      </c>
      <c r="AA89" s="9">
        <v>2</v>
      </c>
      <c r="AB89" s="9">
        <v>2</v>
      </c>
      <c r="AC89" s="1">
        <f t="shared" si="19"/>
        <v>13</v>
      </c>
      <c r="AD89" s="1">
        <f t="shared" si="20"/>
        <v>21.428571428571427</v>
      </c>
      <c r="AE89" s="9">
        <v>3</v>
      </c>
      <c r="AF89" s="9">
        <v>3</v>
      </c>
      <c r="AG89" s="9">
        <v>2</v>
      </c>
      <c r="AH89" s="9">
        <v>2</v>
      </c>
      <c r="AI89" s="9">
        <v>3</v>
      </c>
      <c r="AJ89" s="9">
        <v>2</v>
      </c>
      <c r="AK89" s="9">
        <v>2</v>
      </c>
      <c r="AL89" s="9">
        <v>2</v>
      </c>
      <c r="AM89" s="1">
        <f t="shared" si="21"/>
        <v>19</v>
      </c>
      <c r="AN89" s="1">
        <f t="shared" si="22"/>
        <v>34.375</v>
      </c>
      <c r="AQ89" s="1">
        <f t="shared" si="13"/>
        <v>257.30357142857144</v>
      </c>
      <c r="AR89" s="1">
        <f t="shared" si="14"/>
        <v>284.60714285714283</v>
      </c>
      <c r="AS89" s="1">
        <f t="shared" si="23"/>
        <v>541.91071428571422</v>
      </c>
      <c r="AT89" s="1" t="s">
        <v>252</v>
      </c>
      <c r="AU89" s="20">
        <v>1</v>
      </c>
    </row>
    <row r="90" spans="1:47">
      <c r="A90" t="s">
        <v>226</v>
      </c>
      <c r="B90" s="9">
        <v>4</v>
      </c>
      <c r="C90" s="9">
        <v>3</v>
      </c>
      <c r="D90" s="9">
        <v>3</v>
      </c>
      <c r="E90" s="9">
        <v>3</v>
      </c>
      <c r="F90" s="9">
        <v>4</v>
      </c>
      <c r="G90" s="9">
        <v>5</v>
      </c>
      <c r="H90" s="9">
        <v>3</v>
      </c>
      <c r="I90" s="9">
        <v>4</v>
      </c>
      <c r="J90" s="1">
        <f t="shared" si="15"/>
        <v>29</v>
      </c>
      <c r="K90" s="1">
        <f t="shared" si="16"/>
        <v>65.625</v>
      </c>
      <c r="L90" s="9">
        <v>3</v>
      </c>
      <c r="M90" s="9">
        <v>1</v>
      </c>
      <c r="N90" s="9">
        <v>1</v>
      </c>
      <c r="O90" s="9">
        <v>2</v>
      </c>
      <c r="P90" s="9">
        <v>2</v>
      </c>
      <c r="Q90" s="9">
        <v>3</v>
      </c>
      <c r="R90" s="9">
        <v>2</v>
      </c>
      <c r="S90" s="9">
        <v>2</v>
      </c>
      <c r="T90" s="1">
        <f t="shared" si="17"/>
        <v>16</v>
      </c>
      <c r="U90" s="1">
        <f t="shared" si="18"/>
        <v>25</v>
      </c>
      <c r="V90" s="9">
        <v>5</v>
      </c>
      <c r="W90" s="9">
        <v>5</v>
      </c>
      <c r="X90" s="9">
        <v>3</v>
      </c>
      <c r="Y90" s="9">
        <v>2</v>
      </c>
      <c r="Z90" s="9">
        <v>1</v>
      </c>
      <c r="AA90" s="9">
        <v>2</v>
      </c>
      <c r="AB90" s="9">
        <v>4</v>
      </c>
      <c r="AC90" s="1">
        <f t="shared" si="19"/>
        <v>22</v>
      </c>
      <c r="AD90" s="1">
        <f t="shared" si="20"/>
        <v>53.571428571428569</v>
      </c>
      <c r="AE90" s="9">
        <v>1</v>
      </c>
      <c r="AF90" s="9">
        <v>1</v>
      </c>
      <c r="AG90" s="9">
        <v>5</v>
      </c>
      <c r="AH90" s="9">
        <v>1</v>
      </c>
      <c r="AI90" s="9">
        <v>1</v>
      </c>
      <c r="AJ90" s="9">
        <v>2</v>
      </c>
      <c r="AK90" s="9">
        <v>2</v>
      </c>
      <c r="AL90" s="9">
        <v>2</v>
      </c>
      <c r="AM90" s="1">
        <f t="shared" si="21"/>
        <v>15</v>
      </c>
      <c r="AN90" s="1">
        <f t="shared" si="22"/>
        <v>21.875</v>
      </c>
      <c r="AQ90" s="1">
        <f t="shared" si="13"/>
        <v>293.19642857142856</v>
      </c>
      <c r="AR90" s="1">
        <f t="shared" si="14"/>
        <v>198.23214285714286</v>
      </c>
      <c r="AS90" s="1">
        <f t="shared" si="23"/>
        <v>491.42857142857144</v>
      </c>
      <c r="AT90" s="1" t="s">
        <v>252</v>
      </c>
      <c r="AU90" s="20">
        <v>1</v>
      </c>
    </row>
    <row r="91" spans="1:47">
      <c r="A91" t="s">
        <v>227</v>
      </c>
      <c r="B91" s="9">
        <v>3</v>
      </c>
      <c r="C91" s="9">
        <v>2</v>
      </c>
      <c r="D91" s="9">
        <v>4</v>
      </c>
      <c r="E91" s="9">
        <v>2</v>
      </c>
      <c r="F91" s="9">
        <v>3</v>
      </c>
      <c r="G91" s="9">
        <v>4</v>
      </c>
      <c r="H91" s="9">
        <v>1</v>
      </c>
      <c r="I91" s="9">
        <v>2</v>
      </c>
      <c r="J91" s="1">
        <f t="shared" si="15"/>
        <v>21</v>
      </c>
      <c r="K91" s="1">
        <f t="shared" si="16"/>
        <v>40.625</v>
      </c>
      <c r="L91" s="9">
        <v>3</v>
      </c>
      <c r="M91" s="9">
        <v>2</v>
      </c>
      <c r="N91" s="9">
        <v>2</v>
      </c>
      <c r="O91" s="9">
        <v>4</v>
      </c>
      <c r="P91" s="9">
        <v>1</v>
      </c>
      <c r="Q91" s="9">
        <v>3</v>
      </c>
      <c r="R91" s="9">
        <v>2</v>
      </c>
      <c r="S91" s="9">
        <v>2</v>
      </c>
      <c r="T91" s="1">
        <f t="shared" si="17"/>
        <v>19</v>
      </c>
      <c r="U91" s="1">
        <f t="shared" si="18"/>
        <v>34.375</v>
      </c>
      <c r="V91" s="9">
        <v>4</v>
      </c>
      <c r="W91" s="9">
        <v>3</v>
      </c>
      <c r="X91" s="9">
        <v>5</v>
      </c>
      <c r="Y91" s="9">
        <v>1</v>
      </c>
      <c r="Z91" s="9">
        <v>1</v>
      </c>
      <c r="AA91" s="9">
        <v>1</v>
      </c>
      <c r="AB91" s="9">
        <v>1</v>
      </c>
      <c r="AC91" s="1">
        <f t="shared" si="19"/>
        <v>16</v>
      </c>
      <c r="AD91" s="1">
        <f t="shared" si="20"/>
        <v>32.142857142857146</v>
      </c>
      <c r="AE91" s="9">
        <v>1</v>
      </c>
      <c r="AF91" s="9">
        <v>1</v>
      </c>
      <c r="AG91" s="9">
        <v>4</v>
      </c>
      <c r="AH91" s="9">
        <v>2</v>
      </c>
      <c r="AI91" s="9">
        <v>5</v>
      </c>
      <c r="AJ91" s="9">
        <v>1</v>
      </c>
      <c r="AK91" s="9">
        <v>2</v>
      </c>
      <c r="AL91" s="9">
        <v>1</v>
      </c>
      <c r="AM91" s="1">
        <f t="shared" si="21"/>
        <v>17</v>
      </c>
      <c r="AN91" s="1">
        <f t="shared" si="22"/>
        <v>28.125</v>
      </c>
      <c r="AQ91" s="1">
        <f t="shared" si="13"/>
        <v>236.14285714285714</v>
      </c>
      <c r="AR91" s="1">
        <f t="shared" si="14"/>
        <v>219.76785714285714</v>
      </c>
      <c r="AS91" s="1">
        <f t="shared" si="23"/>
        <v>455.91071428571428</v>
      </c>
      <c r="AT91" s="1" t="s">
        <v>252</v>
      </c>
      <c r="AU91" s="20">
        <v>1</v>
      </c>
    </row>
    <row r="92" spans="1:47">
      <c r="A92" t="s">
        <v>228</v>
      </c>
      <c r="B92" s="9">
        <v>4</v>
      </c>
      <c r="C92" s="9">
        <v>3</v>
      </c>
      <c r="D92" s="9">
        <v>5</v>
      </c>
      <c r="E92" s="9">
        <v>5</v>
      </c>
      <c r="F92" s="9">
        <v>5</v>
      </c>
      <c r="G92" s="9">
        <v>5</v>
      </c>
      <c r="H92" s="9">
        <v>5</v>
      </c>
      <c r="I92" s="9">
        <v>4</v>
      </c>
      <c r="J92" s="1">
        <f t="shared" si="15"/>
        <v>36</v>
      </c>
      <c r="K92" s="1">
        <f t="shared" si="16"/>
        <v>87.5</v>
      </c>
      <c r="L92" s="9">
        <v>1</v>
      </c>
      <c r="M92" s="9">
        <v>1</v>
      </c>
      <c r="N92" s="9">
        <v>1</v>
      </c>
      <c r="O92" s="9">
        <v>2</v>
      </c>
      <c r="P92" s="9">
        <v>1</v>
      </c>
      <c r="Q92" s="9">
        <v>1</v>
      </c>
      <c r="R92" s="9">
        <v>1</v>
      </c>
      <c r="S92" s="9">
        <v>1</v>
      </c>
      <c r="T92" s="1">
        <f t="shared" si="17"/>
        <v>9</v>
      </c>
      <c r="U92" s="1">
        <f t="shared" si="18"/>
        <v>3.125</v>
      </c>
      <c r="V92" s="9">
        <v>2</v>
      </c>
      <c r="W92" s="9">
        <v>1</v>
      </c>
      <c r="X92" s="9">
        <v>1</v>
      </c>
      <c r="Y92" s="9">
        <v>1</v>
      </c>
      <c r="Z92" s="9">
        <v>1</v>
      </c>
      <c r="AA92" s="9">
        <v>1</v>
      </c>
      <c r="AB92" s="9">
        <v>1</v>
      </c>
      <c r="AC92" s="1">
        <f t="shared" si="19"/>
        <v>8</v>
      </c>
      <c r="AD92" s="1">
        <f t="shared" si="20"/>
        <v>3.5714285714285712</v>
      </c>
      <c r="AE92" s="9">
        <v>2</v>
      </c>
      <c r="AF92" s="9">
        <v>3</v>
      </c>
      <c r="AG92" s="9">
        <v>3</v>
      </c>
      <c r="AH92" s="9">
        <v>1</v>
      </c>
      <c r="AI92" s="9">
        <v>2</v>
      </c>
      <c r="AJ92" s="9">
        <v>1</v>
      </c>
      <c r="AK92" s="9">
        <v>4</v>
      </c>
      <c r="AL92" s="9">
        <v>1</v>
      </c>
      <c r="AM92" s="1">
        <f t="shared" si="21"/>
        <v>17</v>
      </c>
      <c r="AN92" s="1">
        <f t="shared" si="22"/>
        <v>28.125</v>
      </c>
      <c r="AQ92" s="1">
        <f t="shared" si="13"/>
        <v>217.19642857142858</v>
      </c>
      <c r="AR92" s="1">
        <f t="shared" si="14"/>
        <v>129.17857142857142</v>
      </c>
      <c r="AS92" s="1">
        <f t="shared" si="23"/>
        <v>346.375</v>
      </c>
      <c r="AT92" s="1" t="s">
        <v>253</v>
      </c>
      <c r="AU92" s="20">
        <v>0</v>
      </c>
    </row>
    <row r="93" spans="1:47">
      <c r="A93" t="s">
        <v>229</v>
      </c>
      <c r="B93" s="9">
        <v>3</v>
      </c>
      <c r="C93" s="9">
        <v>2</v>
      </c>
      <c r="D93" s="9">
        <v>4</v>
      </c>
      <c r="E93" s="9">
        <v>2</v>
      </c>
      <c r="F93" s="9">
        <v>4</v>
      </c>
      <c r="G93" s="9">
        <v>4</v>
      </c>
      <c r="H93" s="9">
        <v>2</v>
      </c>
      <c r="I93" s="9">
        <v>3</v>
      </c>
      <c r="J93" s="1">
        <f t="shared" si="15"/>
        <v>24</v>
      </c>
      <c r="K93" s="1">
        <f t="shared" si="16"/>
        <v>50</v>
      </c>
      <c r="L93" s="9">
        <v>3</v>
      </c>
      <c r="M93" s="9">
        <v>1</v>
      </c>
      <c r="N93" s="9">
        <v>3</v>
      </c>
      <c r="O93" s="9">
        <v>2</v>
      </c>
      <c r="P93" s="9">
        <v>2</v>
      </c>
      <c r="Q93" s="9">
        <v>3</v>
      </c>
      <c r="R93" s="9">
        <v>2</v>
      </c>
      <c r="S93" s="9">
        <v>2</v>
      </c>
      <c r="T93" s="1">
        <f t="shared" si="17"/>
        <v>18</v>
      </c>
      <c r="U93" s="1">
        <f t="shared" si="18"/>
        <v>31.25</v>
      </c>
      <c r="V93" s="9">
        <v>2</v>
      </c>
      <c r="W93" s="9">
        <v>2</v>
      </c>
      <c r="X93" s="9">
        <v>3</v>
      </c>
      <c r="Y93" s="9">
        <v>2</v>
      </c>
      <c r="Z93" s="9">
        <v>2</v>
      </c>
      <c r="AA93" s="9">
        <v>1</v>
      </c>
      <c r="AB93" s="9">
        <v>1</v>
      </c>
      <c r="AC93" s="1">
        <f t="shared" si="19"/>
        <v>13</v>
      </c>
      <c r="AD93" s="1">
        <f t="shared" si="20"/>
        <v>21.428571428571427</v>
      </c>
      <c r="AE93" s="9">
        <v>2</v>
      </c>
      <c r="AF93" s="9">
        <v>2</v>
      </c>
      <c r="AG93" s="9">
        <v>4</v>
      </c>
      <c r="AH93" s="9">
        <v>4</v>
      </c>
      <c r="AI93" s="9">
        <v>2</v>
      </c>
      <c r="AJ93" s="9">
        <v>2</v>
      </c>
      <c r="AK93" s="9">
        <v>4</v>
      </c>
      <c r="AL93" s="9">
        <v>2</v>
      </c>
      <c r="AM93" s="1">
        <f t="shared" si="21"/>
        <v>22</v>
      </c>
      <c r="AN93" s="1">
        <f t="shared" si="22"/>
        <v>43.75</v>
      </c>
      <c r="AQ93" s="1">
        <f t="shared" si="13"/>
        <v>234.67857142857142</v>
      </c>
      <c r="AR93" s="1">
        <f t="shared" si="14"/>
        <v>254.94642857142858</v>
      </c>
      <c r="AS93" s="1">
        <f t="shared" si="23"/>
        <v>489.625</v>
      </c>
      <c r="AT93" s="1" t="s">
        <v>252</v>
      </c>
      <c r="AU93" s="20">
        <v>1</v>
      </c>
    </row>
    <row r="94" spans="1:47">
      <c r="A94" t="s">
        <v>230</v>
      </c>
      <c r="B94" s="9">
        <v>3</v>
      </c>
      <c r="C94" s="9">
        <v>2</v>
      </c>
      <c r="D94" s="9">
        <v>4</v>
      </c>
      <c r="E94" s="9">
        <v>3</v>
      </c>
      <c r="F94" s="9">
        <v>5</v>
      </c>
      <c r="G94" s="9">
        <v>2</v>
      </c>
      <c r="H94" s="9">
        <v>3</v>
      </c>
      <c r="I94" s="9">
        <v>4</v>
      </c>
      <c r="J94" s="1">
        <f t="shared" si="15"/>
        <v>26</v>
      </c>
      <c r="K94" s="1">
        <f t="shared" si="16"/>
        <v>56.25</v>
      </c>
      <c r="L94" s="9">
        <v>3</v>
      </c>
      <c r="M94" s="9">
        <v>3</v>
      </c>
      <c r="N94" s="9">
        <v>3</v>
      </c>
      <c r="O94" s="9">
        <v>2</v>
      </c>
      <c r="P94" s="9">
        <v>5</v>
      </c>
      <c r="Q94" s="9">
        <v>4</v>
      </c>
      <c r="R94" s="9">
        <v>2</v>
      </c>
      <c r="S94" s="9">
        <v>3</v>
      </c>
      <c r="T94" s="1">
        <f t="shared" si="17"/>
        <v>25</v>
      </c>
      <c r="U94" s="1">
        <f t="shared" si="18"/>
        <v>53.125</v>
      </c>
      <c r="V94" s="9">
        <v>1</v>
      </c>
      <c r="W94" s="9">
        <v>2</v>
      </c>
      <c r="X94" s="9">
        <v>2</v>
      </c>
      <c r="Y94" s="9">
        <v>1</v>
      </c>
      <c r="Z94" s="9">
        <v>5</v>
      </c>
      <c r="AA94" s="9">
        <v>4</v>
      </c>
      <c r="AB94" s="9">
        <v>3</v>
      </c>
      <c r="AC94" s="1">
        <f t="shared" si="19"/>
        <v>18</v>
      </c>
      <c r="AD94" s="1">
        <f t="shared" si="20"/>
        <v>39.285714285714285</v>
      </c>
      <c r="AE94" s="9">
        <v>2</v>
      </c>
      <c r="AF94" s="9">
        <v>2</v>
      </c>
      <c r="AG94" s="9">
        <v>4</v>
      </c>
      <c r="AH94" s="9">
        <v>2</v>
      </c>
      <c r="AI94" s="9">
        <v>1</v>
      </c>
      <c r="AJ94" s="9">
        <v>2</v>
      </c>
      <c r="AK94" s="9">
        <v>5</v>
      </c>
      <c r="AL94" s="9">
        <v>3</v>
      </c>
      <c r="AM94" s="1">
        <f t="shared" si="21"/>
        <v>21</v>
      </c>
      <c r="AN94" s="1">
        <f t="shared" si="22"/>
        <v>40.625</v>
      </c>
      <c r="AQ94" s="1">
        <f t="shared" si="13"/>
        <v>307.66071428571428</v>
      </c>
      <c r="AR94" s="1">
        <f t="shared" si="14"/>
        <v>341.39285714285711</v>
      </c>
      <c r="AS94" s="1">
        <f t="shared" si="23"/>
        <v>649.05357142857133</v>
      </c>
      <c r="AT94" s="1" t="s">
        <v>252</v>
      </c>
      <c r="AU94" s="20">
        <v>1</v>
      </c>
    </row>
    <row r="95" spans="1:47">
      <c r="A95" t="s">
        <v>231</v>
      </c>
      <c r="B95" s="9">
        <v>3</v>
      </c>
      <c r="C95" s="9">
        <v>3</v>
      </c>
      <c r="D95" s="9">
        <v>4</v>
      </c>
      <c r="E95" s="9">
        <v>4</v>
      </c>
      <c r="F95" s="9">
        <v>3</v>
      </c>
      <c r="G95" s="9">
        <v>4</v>
      </c>
      <c r="H95" s="9">
        <v>5</v>
      </c>
      <c r="I95" s="9">
        <v>4</v>
      </c>
      <c r="J95" s="1">
        <f t="shared" si="15"/>
        <v>30</v>
      </c>
      <c r="K95" s="1">
        <f t="shared" si="16"/>
        <v>68.75</v>
      </c>
      <c r="L95" s="9">
        <v>3</v>
      </c>
      <c r="M95" s="9">
        <v>2</v>
      </c>
      <c r="N95" s="9">
        <v>2</v>
      </c>
      <c r="O95" s="9">
        <v>2</v>
      </c>
      <c r="P95" s="9">
        <v>2</v>
      </c>
      <c r="Q95" s="9">
        <v>3</v>
      </c>
      <c r="R95" s="9">
        <v>2</v>
      </c>
      <c r="S95" s="9">
        <v>2</v>
      </c>
      <c r="T95" s="1">
        <f t="shared" si="17"/>
        <v>18</v>
      </c>
      <c r="U95" s="1">
        <f t="shared" si="18"/>
        <v>31.25</v>
      </c>
      <c r="V95" s="9">
        <v>2</v>
      </c>
      <c r="W95" s="9">
        <v>1</v>
      </c>
      <c r="X95" s="9">
        <v>2</v>
      </c>
      <c r="Y95" s="9">
        <v>2</v>
      </c>
      <c r="Z95" s="9">
        <v>2</v>
      </c>
      <c r="AA95" s="9">
        <v>2</v>
      </c>
      <c r="AB95" s="9">
        <v>2</v>
      </c>
      <c r="AC95" s="1">
        <f t="shared" si="19"/>
        <v>13</v>
      </c>
      <c r="AD95" s="1">
        <f t="shared" si="20"/>
        <v>21.428571428571427</v>
      </c>
      <c r="AE95" s="9">
        <v>1</v>
      </c>
      <c r="AF95" s="9">
        <v>2</v>
      </c>
      <c r="AG95" s="9">
        <v>3</v>
      </c>
      <c r="AH95" s="9">
        <v>1</v>
      </c>
      <c r="AI95" s="9">
        <v>1</v>
      </c>
      <c r="AJ95" s="9">
        <v>1</v>
      </c>
      <c r="AK95" s="9">
        <v>2</v>
      </c>
      <c r="AL95" s="9">
        <v>2</v>
      </c>
      <c r="AM95" s="1">
        <f t="shared" si="21"/>
        <v>13</v>
      </c>
      <c r="AN95" s="1">
        <f t="shared" si="22"/>
        <v>15.625</v>
      </c>
      <c r="AQ95" s="1">
        <f t="shared" si="13"/>
        <v>256.42857142857144</v>
      </c>
      <c r="AR95" s="1">
        <f t="shared" si="14"/>
        <v>176.82142857142858</v>
      </c>
      <c r="AS95" s="1">
        <f t="shared" si="23"/>
        <v>433.25</v>
      </c>
      <c r="AT95" s="12" t="s">
        <v>252</v>
      </c>
      <c r="AU95" s="20">
        <v>1</v>
      </c>
    </row>
    <row r="96" spans="1:47">
      <c r="A96" t="s">
        <v>232</v>
      </c>
      <c r="B96" s="9">
        <v>4</v>
      </c>
      <c r="C96" s="9">
        <v>3</v>
      </c>
      <c r="D96" s="9">
        <v>4</v>
      </c>
      <c r="E96" s="9">
        <v>3</v>
      </c>
      <c r="F96" s="9">
        <v>3</v>
      </c>
      <c r="G96" s="9">
        <v>3</v>
      </c>
      <c r="H96" s="9">
        <v>3</v>
      </c>
      <c r="I96" s="9">
        <v>2</v>
      </c>
      <c r="J96" s="1">
        <f t="shared" si="15"/>
        <v>25</v>
      </c>
      <c r="K96" s="1">
        <f t="shared" si="16"/>
        <v>53.125</v>
      </c>
      <c r="L96" s="9">
        <v>3</v>
      </c>
      <c r="M96" s="9">
        <v>1</v>
      </c>
      <c r="N96" s="9">
        <v>1</v>
      </c>
      <c r="O96" s="9">
        <v>4</v>
      </c>
      <c r="P96" s="9">
        <v>2</v>
      </c>
      <c r="Q96" s="9">
        <v>3</v>
      </c>
      <c r="R96" s="9">
        <v>2</v>
      </c>
      <c r="S96" s="9">
        <v>3</v>
      </c>
      <c r="T96" s="1">
        <f t="shared" si="17"/>
        <v>19</v>
      </c>
      <c r="U96" s="1">
        <f t="shared" si="18"/>
        <v>34.375</v>
      </c>
      <c r="V96" s="9">
        <v>4</v>
      </c>
      <c r="W96" s="9">
        <v>3</v>
      </c>
      <c r="X96" s="9">
        <v>3</v>
      </c>
      <c r="Y96" s="9">
        <v>3</v>
      </c>
      <c r="Z96" s="9">
        <v>2</v>
      </c>
      <c r="AA96" s="9">
        <v>1</v>
      </c>
      <c r="AB96" s="9">
        <v>2</v>
      </c>
      <c r="AC96" s="1">
        <f t="shared" si="19"/>
        <v>18</v>
      </c>
      <c r="AD96" s="1">
        <f t="shared" si="20"/>
        <v>39.285714285714285</v>
      </c>
      <c r="AE96" s="9">
        <v>2</v>
      </c>
      <c r="AF96" s="9">
        <v>2</v>
      </c>
      <c r="AG96" s="9">
        <v>4</v>
      </c>
      <c r="AH96" s="9">
        <v>2</v>
      </c>
      <c r="AI96" s="9">
        <v>3</v>
      </c>
      <c r="AJ96" s="9">
        <v>2</v>
      </c>
      <c r="AK96" s="9">
        <v>4</v>
      </c>
      <c r="AL96" s="9">
        <v>3</v>
      </c>
      <c r="AM96" s="1">
        <f t="shared" si="21"/>
        <v>22</v>
      </c>
      <c r="AN96" s="1">
        <f t="shared" si="22"/>
        <v>43.75</v>
      </c>
      <c r="AQ96" s="1">
        <f t="shared" si="13"/>
        <v>272.78571428571428</v>
      </c>
      <c r="AR96" s="1">
        <f t="shared" si="14"/>
        <v>356.89285714285711</v>
      </c>
      <c r="AS96" s="1">
        <f t="shared" si="23"/>
        <v>629.67857142857133</v>
      </c>
      <c r="AT96" s="1" t="s">
        <v>252</v>
      </c>
      <c r="AU96" s="20">
        <v>1</v>
      </c>
    </row>
    <row r="97" spans="1:47">
      <c r="A97" t="s">
        <v>233</v>
      </c>
      <c r="B97" s="9">
        <v>3</v>
      </c>
      <c r="C97" s="9">
        <v>3</v>
      </c>
      <c r="D97" s="9">
        <v>3</v>
      </c>
      <c r="E97" s="9">
        <v>3</v>
      </c>
      <c r="F97" s="9">
        <v>4</v>
      </c>
      <c r="G97" s="9">
        <v>3</v>
      </c>
      <c r="H97" s="9">
        <v>2</v>
      </c>
      <c r="I97" s="9">
        <v>4</v>
      </c>
      <c r="J97" s="1">
        <f t="shared" si="15"/>
        <v>25</v>
      </c>
      <c r="K97" s="1">
        <f t="shared" si="16"/>
        <v>53.125</v>
      </c>
      <c r="L97" s="9">
        <v>3</v>
      </c>
      <c r="M97" s="9">
        <v>3</v>
      </c>
      <c r="N97" s="9">
        <v>2</v>
      </c>
      <c r="O97" s="9">
        <v>2</v>
      </c>
      <c r="P97" s="9">
        <v>2</v>
      </c>
      <c r="Q97" s="9">
        <v>3</v>
      </c>
      <c r="R97" s="9">
        <v>2</v>
      </c>
      <c r="S97" s="9">
        <v>1</v>
      </c>
      <c r="T97" s="1">
        <f t="shared" si="17"/>
        <v>18</v>
      </c>
      <c r="U97" s="1">
        <f t="shared" si="18"/>
        <v>31.25</v>
      </c>
      <c r="V97" s="9">
        <v>2</v>
      </c>
      <c r="W97" s="9">
        <v>2</v>
      </c>
      <c r="X97" s="9">
        <v>2</v>
      </c>
      <c r="Y97" s="9">
        <v>1</v>
      </c>
      <c r="Z97" s="9">
        <v>1</v>
      </c>
      <c r="AA97" s="9">
        <v>1</v>
      </c>
      <c r="AB97" s="9">
        <v>1</v>
      </c>
      <c r="AC97" s="1">
        <f t="shared" si="19"/>
        <v>10</v>
      </c>
      <c r="AD97" s="1">
        <f t="shared" si="20"/>
        <v>10.714285714285714</v>
      </c>
      <c r="AE97" s="9">
        <v>3</v>
      </c>
      <c r="AF97" s="9">
        <v>3</v>
      </c>
      <c r="AG97" s="9">
        <v>3</v>
      </c>
      <c r="AH97" s="9">
        <v>3</v>
      </c>
      <c r="AI97" s="9">
        <v>2</v>
      </c>
      <c r="AJ97" s="9">
        <v>3</v>
      </c>
      <c r="AK97" s="9">
        <v>3</v>
      </c>
      <c r="AL97" s="9">
        <v>3</v>
      </c>
      <c r="AM97" s="1">
        <f t="shared" si="21"/>
        <v>23</v>
      </c>
      <c r="AN97" s="1">
        <f t="shared" si="22"/>
        <v>46.875</v>
      </c>
      <c r="AQ97" s="1">
        <f t="shared" si="13"/>
        <v>224.08928571428572</v>
      </c>
      <c r="AR97" s="1">
        <f t="shared" si="14"/>
        <v>223.41071428571428</v>
      </c>
      <c r="AS97" s="1">
        <f t="shared" si="23"/>
        <v>447.5</v>
      </c>
      <c r="AT97" s="1" t="s">
        <v>252</v>
      </c>
      <c r="AU97" s="20">
        <v>1</v>
      </c>
    </row>
    <row r="98" spans="1:47">
      <c r="A98" t="s">
        <v>234</v>
      </c>
      <c r="B98" s="9">
        <v>4</v>
      </c>
      <c r="C98" s="9">
        <v>3</v>
      </c>
      <c r="D98" s="9">
        <v>5</v>
      </c>
      <c r="E98" s="9">
        <v>3</v>
      </c>
      <c r="F98" s="9">
        <v>4</v>
      </c>
      <c r="G98" s="9">
        <v>5</v>
      </c>
      <c r="H98" s="9">
        <v>3</v>
      </c>
      <c r="I98" s="9">
        <v>4</v>
      </c>
      <c r="J98" s="1">
        <f t="shared" si="15"/>
        <v>31</v>
      </c>
      <c r="K98" s="1">
        <f t="shared" si="16"/>
        <v>71.875</v>
      </c>
      <c r="L98" s="9">
        <v>2</v>
      </c>
      <c r="M98" s="9">
        <v>1</v>
      </c>
      <c r="N98" s="9">
        <v>3</v>
      </c>
      <c r="O98" s="9">
        <v>2</v>
      </c>
      <c r="P98" s="9">
        <v>2</v>
      </c>
      <c r="Q98" s="9">
        <v>2</v>
      </c>
      <c r="R98" s="9">
        <v>1</v>
      </c>
      <c r="S98" s="9">
        <v>1</v>
      </c>
      <c r="T98" s="1">
        <f t="shared" si="17"/>
        <v>14</v>
      </c>
      <c r="U98" s="1">
        <f t="shared" si="18"/>
        <v>18.75</v>
      </c>
      <c r="V98" s="9">
        <v>2</v>
      </c>
      <c r="W98" s="9">
        <v>4</v>
      </c>
      <c r="X98" s="9">
        <v>2</v>
      </c>
      <c r="Y98" s="9">
        <v>1</v>
      </c>
      <c r="Z98" s="9">
        <v>2</v>
      </c>
      <c r="AA98" s="9">
        <v>1</v>
      </c>
      <c r="AB98" s="9">
        <v>2</v>
      </c>
      <c r="AC98" s="1">
        <f t="shared" si="19"/>
        <v>14</v>
      </c>
      <c r="AD98" s="1">
        <f t="shared" si="20"/>
        <v>25</v>
      </c>
      <c r="AE98" s="9">
        <v>2</v>
      </c>
      <c r="AF98" s="9">
        <v>4</v>
      </c>
      <c r="AG98" s="9">
        <v>4</v>
      </c>
      <c r="AH98" s="9">
        <v>3</v>
      </c>
      <c r="AI98" s="9">
        <v>2</v>
      </c>
      <c r="AJ98" s="9">
        <v>2</v>
      </c>
      <c r="AK98" s="9">
        <v>3</v>
      </c>
      <c r="AL98" s="9">
        <v>1</v>
      </c>
      <c r="AM98" s="1">
        <f t="shared" si="21"/>
        <v>21</v>
      </c>
      <c r="AN98" s="1">
        <f t="shared" si="22"/>
        <v>40.625</v>
      </c>
      <c r="AQ98" s="1">
        <f t="shared" si="13"/>
        <v>254.625</v>
      </c>
      <c r="AR98" s="1">
        <f t="shared" si="14"/>
        <v>208.60714285714286</v>
      </c>
      <c r="AS98" s="1">
        <f t="shared" si="23"/>
        <v>463.23214285714289</v>
      </c>
      <c r="AT98" s="1" t="s">
        <v>252</v>
      </c>
      <c r="AU98" s="20">
        <v>1</v>
      </c>
    </row>
    <row r="99" spans="1:47">
      <c r="A99" t="s">
        <v>235</v>
      </c>
      <c r="B99" s="9">
        <v>3</v>
      </c>
      <c r="C99" s="9">
        <v>2</v>
      </c>
      <c r="D99" s="9">
        <v>5</v>
      </c>
      <c r="E99" s="9">
        <v>4</v>
      </c>
      <c r="F99" s="9">
        <v>4</v>
      </c>
      <c r="G99" s="9">
        <v>4</v>
      </c>
      <c r="H99" s="9">
        <v>5</v>
      </c>
      <c r="I99" s="9">
        <v>4</v>
      </c>
      <c r="J99" s="1">
        <f t="shared" si="15"/>
        <v>31</v>
      </c>
      <c r="K99" s="1">
        <f t="shared" si="16"/>
        <v>71.875</v>
      </c>
      <c r="L99" s="9">
        <v>4</v>
      </c>
      <c r="M99" s="9">
        <v>1</v>
      </c>
      <c r="N99" s="9">
        <v>1</v>
      </c>
      <c r="O99" s="9">
        <v>2</v>
      </c>
      <c r="P99" s="9">
        <v>1</v>
      </c>
      <c r="Q99" s="9">
        <v>2</v>
      </c>
      <c r="R99" s="9">
        <v>1</v>
      </c>
      <c r="S99" s="9">
        <v>2</v>
      </c>
      <c r="T99" s="1">
        <f t="shared" si="17"/>
        <v>14</v>
      </c>
      <c r="U99" s="1">
        <f t="shared" si="18"/>
        <v>18.75</v>
      </c>
      <c r="V99" s="9">
        <v>3</v>
      </c>
      <c r="W99" s="9">
        <v>1</v>
      </c>
      <c r="X99" s="9">
        <v>2</v>
      </c>
      <c r="Y99" s="9">
        <v>2</v>
      </c>
      <c r="Z99" s="9">
        <v>1</v>
      </c>
      <c r="AA99" s="9">
        <v>1</v>
      </c>
      <c r="AB99" s="9">
        <v>1</v>
      </c>
      <c r="AC99" s="1">
        <f t="shared" si="19"/>
        <v>11</v>
      </c>
      <c r="AD99" s="1">
        <f t="shared" si="20"/>
        <v>14.285714285714285</v>
      </c>
      <c r="AE99" s="9">
        <v>1</v>
      </c>
      <c r="AF99" s="9">
        <v>1</v>
      </c>
      <c r="AG99" s="9">
        <v>2</v>
      </c>
      <c r="AH99" s="9">
        <v>1</v>
      </c>
      <c r="AI99" s="9">
        <v>1</v>
      </c>
      <c r="AJ99" s="9">
        <v>1</v>
      </c>
      <c r="AK99" s="9">
        <v>2</v>
      </c>
      <c r="AL99" s="9">
        <v>2</v>
      </c>
      <c r="AM99" s="1">
        <f t="shared" si="21"/>
        <v>11</v>
      </c>
      <c r="AN99" s="1">
        <f t="shared" si="22"/>
        <v>9.375</v>
      </c>
      <c r="AQ99" s="1">
        <f t="shared" si="13"/>
        <v>227.91071428571428</v>
      </c>
      <c r="AR99" s="1">
        <f t="shared" si="14"/>
        <v>113.80357142857142</v>
      </c>
      <c r="AS99" s="1">
        <f t="shared" si="23"/>
        <v>341.71428571428567</v>
      </c>
      <c r="AT99" s="1" t="s">
        <v>252</v>
      </c>
      <c r="AU99" s="20">
        <v>1</v>
      </c>
    </row>
    <row r="100" spans="1:47">
      <c r="A100" t="s">
        <v>236</v>
      </c>
      <c r="B100" s="9">
        <v>2</v>
      </c>
      <c r="C100" s="9">
        <v>2</v>
      </c>
      <c r="D100" s="9">
        <v>4</v>
      </c>
      <c r="E100" s="9">
        <v>3</v>
      </c>
      <c r="F100" s="9">
        <v>3</v>
      </c>
      <c r="G100" s="9">
        <v>2</v>
      </c>
      <c r="H100" s="9">
        <v>4</v>
      </c>
      <c r="I100" s="9">
        <v>2</v>
      </c>
      <c r="J100" s="1">
        <f t="shared" si="15"/>
        <v>22</v>
      </c>
      <c r="K100" s="1">
        <f t="shared" si="16"/>
        <v>43.75</v>
      </c>
      <c r="L100" s="9">
        <v>4</v>
      </c>
      <c r="M100" s="9">
        <v>2</v>
      </c>
      <c r="N100" s="9">
        <v>3</v>
      </c>
      <c r="O100" s="9">
        <v>2</v>
      </c>
      <c r="P100" s="9">
        <v>4</v>
      </c>
      <c r="Q100" s="9">
        <v>2</v>
      </c>
      <c r="R100" s="9">
        <v>2</v>
      </c>
      <c r="S100" s="9">
        <v>3</v>
      </c>
      <c r="T100" s="1">
        <f t="shared" si="17"/>
        <v>22</v>
      </c>
      <c r="U100" s="1">
        <f t="shared" si="18"/>
        <v>43.75</v>
      </c>
      <c r="V100" s="9">
        <v>4</v>
      </c>
      <c r="W100" s="9">
        <v>2</v>
      </c>
      <c r="X100" s="9">
        <v>3</v>
      </c>
      <c r="Y100" s="9">
        <v>1</v>
      </c>
      <c r="Z100" s="9">
        <v>4</v>
      </c>
      <c r="AA100" s="9">
        <v>4</v>
      </c>
      <c r="AB100" s="9">
        <v>3</v>
      </c>
      <c r="AC100" s="1">
        <f t="shared" si="19"/>
        <v>21</v>
      </c>
      <c r="AD100" s="1">
        <f t="shared" si="20"/>
        <v>50</v>
      </c>
      <c r="AE100" s="9">
        <v>1</v>
      </c>
      <c r="AF100" s="9">
        <v>2</v>
      </c>
      <c r="AG100" s="9">
        <v>5</v>
      </c>
      <c r="AH100" s="9">
        <v>2</v>
      </c>
      <c r="AI100" s="9">
        <v>3</v>
      </c>
      <c r="AJ100" s="9">
        <v>2</v>
      </c>
      <c r="AK100" s="9">
        <v>3</v>
      </c>
      <c r="AL100" s="9">
        <v>3</v>
      </c>
      <c r="AM100" s="1">
        <f t="shared" si="21"/>
        <v>21</v>
      </c>
      <c r="AN100" s="1">
        <f t="shared" si="22"/>
        <v>40.625</v>
      </c>
      <c r="AQ100" s="1">
        <f t="shared" si="13"/>
        <v>288.5</v>
      </c>
      <c r="AR100" s="1">
        <f t="shared" si="14"/>
        <v>258.83928571428572</v>
      </c>
      <c r="AS100" s="1">
        <f t="shared" si="23"/>
        <v>547.33928571428578</v>
      </c>
      <c r="AT100" s="1" t="s">
        <v>252</v>
      </c>
      <c r="AU100" s="20">
        <v>1</v>
      </c>
    </row>
    <row r="101" spans="1:47">
      <c r="A101" t="s">
        <v>237</v>
      </c>
      <c r="B101" s="9">
        <v>3</v>
      </c>
      <c r="C101" s="9">
        <v>3</v>
      </c>
      <c r="D101" s="9">
        <v>4</v>
      </c>
      <c r="E101" s="9">
        <v>3</v>
      </c>
      <c r="F101" s="9">
        <v>4</v>
      </c>
      <c r="G101" s="9">
        <v>2</v>
      </c>
      <c r="H101" s="9">
        <v>4</v>
      </c>
      <c r="I101" s="9">
        <v>3</v>
      </c>
      <c r="J101" s="1">
        <f t="shared" si="15"/>
        <v>26</v>
      </c>
      <c r="K101" s="1">
        <f t="shared" si="16"/>
        <v>56.25</v>
      </c>
      <c r="L101" s="9">
        <v>4</v>
      </c>
      <c r="M101" s="9">
        <v>1</v>
      </c>
      <c r="N101" s="9">
        <v>4</v>
      </c>
      <c r="O101" s="9">
        <v>2</v>
      </c>
      <c r="P101" s="9">
        <v>2</v>
      </c>
      <c r="Q101" s="9">
        <v>3</v>
      </c>
      <c r="R101" s="9">
        <v>2</v>
      </c>
      <c r="S101" s="9">
        <v>3</v>
      </c>
      <c r="T101" s="1">
        <f t="shared" si="17"/>
        <v>21</v>
      </c>
      <c r="U101" s="1">
        <f t="shared" si="18"/>
        <v>40.625</v>
      </c>
      <c r="V101" s="9">
        <v>1</v>
      </c>
      <c r="W101" s="9">
        <v>1</v>
      </c>
      <c r="X101" s="9">
        <v>1</v>
      </c>
      <c r="Y101" s="9">
        <v>2</v>
      </c>
      <c r="Z101" s="9">
        <v>2</v>
      </c>
      <c r="AA101" s="9">
        <v>1</v>
      </c>
      <c r="AB101" s="9">
        <v>1</v>
      </c>
      <c r="AC101" s="1">
        <f t="shared" si="19"/>
        <v>9</v>
      </c>
      <c r="AD101" s="1">
        <f t="shared" si="20"/>
        <v>7.1428571428571423</v>
      </c>
      <c r="AE101" s="9">
        <v>2</v>
      </c>
      <c r="AF101" s="9">
        <v>2</v>
      </c>
      <c r="AG101" s="9">
        <v>2</v>
      </c>
      <c r="AH101" s="9">
        <v>4</v>
      </c>
      <c r="AI101" s="9">
        <v>1</v>
      </c>
      <c r="AJ101" s="9">
        <v>4</v>
      </c>
      <c r="AK101" s="9">
        <v>3</v>
      </c>
      <c r="AL101" s="9">
        <v>3</v>
      </c>
      <c r="AM101" s="1">
        <f t="shared" si="21"/>
        <v>21</v>
      </c>
      <c r="AN101" s="1">
        <f t="shared" si="22"/>
        <v>40.625</v>
      </c>
      <c r="AQ101" s="1">
        <f t="shared" ref="AQ101:AQ106" si="24">SUM(B101:AL101)</f>
        <v>237.01785714285714</v>
      </c>
      <c r="AR101" s="1">
        <f t="shared" ref="AR101:AR106" si="25">SUM(B209:AS209)</f>
        <v>259.41071428571428</v>
      </c>
      <c r="AS101" s="1">
        <f t="shared" si="23"/>
        <v>496.42857142857144</v>
      </c>
      <c r="AT101" s="1" t="s">
        <v>252</v>
      </c>
      <c r="AU101" s="20">
        <v>1</v>
      </c>
    </row>
    <row r="102" spans="1:47">
      <c r="A102" t="s">
        <v>238</v>
      </c>
      <c r="B102" s="9">
        <v>3</v>
      </c>
      <c r="C102" s="9">
        <v>3</v>
      </c>
      <c r="D102" s="9">
        <v>3</v>
      </c>
      <c r="E102" s="9">
        <v>4</v>
      </c>
      <c r="F102" s="9">
        <v>5</v>
      </c>
      <c r="G102" s="9">
        <v>5</v>
      </c>
      <c r="H102" s="9">
        <v>5</v>
      </c>
      <c r="I102" s="9">
        <v>4</v>
      </c>
      <c r="J102" s="1">
        <f t="shared" si="15"/>
        <v>32</v>
      </c>
      <c r="K102" s="1">
        <f t="shared" si="16"/>
        <v>75</v>
      </c>
      <c r="L102" s="9">
        <v>3</v>
      </c>
      <c r="M102" s="9">
        <v>1</v>
      </c>
      <c r="N102" s="9">
        <v>1</v>
      </c>
      <c r="O102" s="9">
        <v>4</v>
      </c>
      <c r="P102" s="9">
        <v>1</v>
      </c>
      <c r="Q102" s="9">
        <v>5</v>
      </c>
      <c r="R102" s="9">
        <v>3</v>
      </c>
      <c r="S102" s="9">
        <v>1</v>
      </c>
      <c r="T102" s="1">
        <f t="shared" si="17"/>
        <v>19</v>
      </c>
      <c r="U102" s="1">
        <f t="shared" si="18"/>
        <v>34.375</v>
      </c>
      <c r="V102" s="9">
        <v>4</v>
      </c>
      <c r="W102" s="9">
        <v>1</v>
      </c>
      <c r="X102" s="9">
        <v>2</v>
      </c>
      <c r="Y102" s="9">
        <v>1</v>
      </c>
      <c r="Z102" s="9">
        <v>1</v>
      </c>
      <c r="AA102" s="9">
        <v>1</v>
      </c>
      <c r="AB102" s="9">
        <v>1</v>
      </c>
      <c r="AC102" s="1">
        <f t="shared" si="19"/>
        <v>11</v>
      </c>
      <c r="AD102" s="1">
        <f t="shared" si="20"/>
        <v>14.285714285714285</v>
      </c>
      <c r="AE102" s="9">
        <v>1</v>
      </c>
      <c r="AF102" s="9">
        <v>1</v>
      </c>
      <c r="AG102" s="9">
        <v>1</v>
      </c>
      <c r="AH102" s="9">
        <v>5</v>
      </c>
      <c r="AI102" s="9">
        <v>5</v>
      </c>
      <c r="AJ102" s="9">
        <v>1</v>
      </c>
      <c r="AK102" s="9">
        <v>1</v>
      </c>
      <c r="AL102" s="9">
        <v>1</v>
      </c>
      <c r="AM102" s="1">
        <f t="shared" si="21"/>
        <v>16</v>
      </c>
      <c r="AN102" s="1">
        <f t="shared" si="22"/>
        <v>25</v>
      </c>
      <c r="AQ102" s="1">
        <f t="shared" si="24"/>
        <v>263.66071428571428</v>
      </c>
      <c r="AR102" s="1">
        <f t="shared" si="25"/>
        <v>129.28571428571428</v>
      </c>
      <c r="AS102" s="1">
        <f t="shared" si="23"/>
        <v>392.94642857142856</v>
      </c>
      <c r="AT102" s="1" t="s">
        <v>253</v>
      </c>
      <c r="AU102" s="20">
        <v>0</v>
      </c>
    </row>
    <row r="103" spans="1:47">
      <c r="A103" t="s">
        <v>239</v>
      </c>
      <c r="B103" s="9">
        <v>5</v>
      </c>
      <c r="D103" s="9">
        <v>5</v>
      </c>
      <c r="E103" s="9">
        <v>5</v>
      </c>
      <c r="F103" s="9">
        <v>5</v>
      </c>
      <c r="G103" s="9">
        <v>5</v>
      </c>
      <c r="H103" s="9">
        <v>5</v>
      </c>
      <c r="I103" s="9">
        <v>5</v>
      </c>
      <c r="J103" s="1">
        <f t="shared" si="15"/>
        <v>35</v>
      </c>
      <c r="K103" s="1">
        <f t="shared" si="16"/>
        <v>84.375</v>
      </c>
      <c r="L103" s="9">
        <v>1</v>
      </c>
      <c r="M103" s="9">
        <v>1</v>
      </c>
      <c r="N103" s="9">
        <v>1</v>
      </c>
      <c r="O103" s="9">
        <v>1</v>
      </c>
      <c r="P103" s="9">
        <v>1</v>
      </c>
      <c r="Q103" s="9">
        <v>1</v>
      </c>
      <c r="R103" s="9">
        <v>1</v>
      </c>
      <c r="S103" s="9">
        <v>1</v>
      </c>
      <c r="T103" s="1">
        <f t="shared" si="17"/>
        <v>8</v>
      </c>
      <c r="U103" s="1">
        <f t="shared" si="18"/>
        <v>0</v>
      </c>
      <c r="V103" s="9">
        <v>1</v>
      </c>
      <c r="W103" s="9">
        <v>1</v>
      </c>
      <c r="X103" s="9">
        <v>1</v>
      </c>
      <c r="Y103" s="9">
        <v>1</v>
      </c>
      <c r="Z103" s="9">
        <v>1</v>
      </c>
      <c r="AA103" s="9">
        <v>1</v>
      </c>
      <c r="AB103" s="9">
        <v>1</v>
      </c>
      <c r="AC103" s="1">
        <f t="shared" si="19"/>
        <v>7</v>
      </c>
      <c r="AD103" s="1">
        <f t="shared" si="20"/>
        <v>0</v>
      </c>
      <c r="AE103" s="9">
        <v>5</v>
      </c>
      <c r="AF103" s="9">
        <v>5</v>
      </c>
      <c r="AG103" s="9">
        <v>5</v>
      </c>
      <c r="AH103" s="9">
        <v>1</v>
      </c>
      <c r="AI103" s="9">
        <v>3</v>
      </c>
      <c r="AJ103" s="9">
        <v>1</v>
      </c>
      <c r="AK103" s="9">
        <v>5</v>
      </c>
      <c r="AL103" s="9">
        <v>3</v>
      </c>
      <c r="AM103" s="1">
        <f t="shared" si="21"/>
        <v>28</v>
      </c>
      <c r="AN103" s="1">
        <f t="shared" si="22"/>
        <v>62.5</v>
      </c>
      <c r="AQ103" s="1">
        <f t="shared" si="24"/>
        <v>212.375</v>
      </c>
      <c r="AR103" s="1">
        <f t="shared" si="25"/>
        <v>260.17857142857144</v>
      </c>
      <c r="AS103" s="1">
        <f t="shared" si="23"/>
        <v>472.55357142857144</v>
      </c>
      <c r="AT103" s="1" t="s">
        <v>252</v>
      </c>
      <c r="AU103" s="20">
        <v>1</v>
      </c>
    </row>
    <row r="104" spans="1:47">
      <c r="A104" t="s">
        <v>240</v>
      </c>
      <c r="B104" s="9">
        <v>3</v>
      </c>
      <c r="C104" s="9">
        <v>3</v>
      </c>
      <c r="D104" s="9">
        <v>3</v>
      </c>
      <c r="E104" s="9">
        <v>4</v>
      </c>
      <c r="F104" s="9">
        <v>4</v>
      </c>
      <c r="G104" s="9">
        <v>4</v>
      </c>
      <c r="H104" s="9">
        <v>2</v>
      </c>
      <c r="I104" s="9">
        <v>3</v>
      </c>
      <c r="J104" s="1">
        <f t="shared" si="15"/>
        <v>26</v>
      </c>
      <c r="K104" s="1">
        <f t="shared" si="16"/>
        <v>56.25</v>
      </c>
      <c r="L104" s="9">
        <v>3</v>
      </c>
      <c r="M104" s="9">
        <v>1</v>
      </c>
      <c r="N104" s="9">
        <v>2</v>
      </c>
      <c r="O104" s="9">
        <v>2</v>
      </c>
      <c r="P104" s="9">
        <v>2</v>
      </c>
      <c r="Q104" s="9">
        <v>2</v>
      </c>
      <c r="R104" s="9">
        <v>2</v>
      </c>
      <c r="S104" s="9">
        <v>3</v>
      </c>
      <c r="T104" s="1">
        <f t="shared" si="17"/>
        <v>17</v>
      </c>
      <c r="U104" s="1">
        <f t="shared" si="18"/>
        <v>28.125</v>
      </c>
      <c r="V104" s="9">
        <v>3</v>
      </c>
      <c r="W104" s="9">
        <v>1</v>
      </c>
      <c r="X104" s="9">
        <v>2</v>
      </c>
      <c r="Y104" s="9">
        <v>1</v>
      </c>
      <c r="Z104" s="9">
        <v>2</v>
      </c>
      <c r="AA104" s="9">
        <v>2</v>
      </c>
      <c r="AB104" s="9">
        <v>2</v>
      </c>
      <c r="AC104" s="1">
        <f t="shared" si="19"/>
        <v>13</v>
      </c>
      <c r="AD104" s="1">
        <f t="shared" si="20"/>
        <v>21.428571428571427</v>
      </c>
      <c r="AE104" s="9">
        <v>2</v>
      </c>
      <c r="AF104" s="9">
        <v>3</v>
      </c>
      <c r="AG104" s="9">
        <v>3</v>
      </c>
      <c r="AH104" s="9">
        <v>4</v>
      </c>
      <c r="AI104" s="9">
        <v>2</v>
      </c>
      <c r="AJ104" s="9">
        <v>4</v>
      </c>
      <c r="AK104" s="9">
        <v>3</v>
      </c>
      <c r="AL104" s="9">
        <v>3</v>
      </c>
      <c r="AM104" s="1">
        <f t="shared" si="21"/>
        <v>24</v>
      </c>
      <c r="AN104" s="1">
        <f t="shared" si="22"/>
        <v>50</v>
      </c>
      <c r="AQ104" s="1">
        <f t="shared" si="24"/>
        <v>241.80357142857142</v>
      </c>
      <c r="AR104" s="1">
        <f t="shared" si="25"/>
        <v>345.875</v>
      </c>
      <c r="AS104" s="1">
        <f t="shared" si="23"/>
        <v>587.67857142857144</v>
      </c>
      <c r="AT104" s="1" t="s">
        <v>252</v>
      </c>
      <c r="AU104" s="20">
        <v>1</v>
      </c>
    </row>
    <row r="105" spans="1:47">
      <c r="A105" t="s">
        <v>241</v>
      </c>
      <c r="B105" s="9">
        <v>4</v>
      </c>
      <c r="C105" s="9">
        <v>3</v>
      </c>
      <c r="D105" s="9">
        <v>5</v>
      </c>
      <c r="E105" s="9">
        <v>5</v>
      </c>
      <c r="F105" s="9">
        <v>3</v>
      </c>
      <c r="G105" s="9">
        <v>4</v>
      </c>
      <c r="H105" s="9">
        <v>4</v>
      </c>
      <c r="I105" s="9">
        <v>1</v>
      </c>
      <c r="J105" s="1">
        <f t="shared" si="15"/>
        <v>29</v>
      </c>
      <c r="K105" s="1">
        <f t="shared" si="16"/>
        <v>65.625</v>
      </c>
      <c r="L105" s="9">
        <v>3</v>
      </c>
      <c r="M105" s="9">
        <v>1</v>
      </c>
      <c r="N105" s="9">
        <v>1</v>
      </c>
      <c r="O105" s="9">
        <v>3</v>
      </c>
      <c r="P105" s="9">
        <v>3</v>
      </c>
      <c r="Q105" s="9">
        <v>1</v>
      </c>
      <c r="R105" s="9">
        <v>1</v>
      </c>
      <c r="S105" s="9">
        <v>2</v>
      </c>
      <c r="T105" s="1">
        <f t="shared" si="17"/>
        <v>15</v>
      </c>
      <c r="U105" s="1">
        <f t="shared" si="18"/>
        <v>21.875</v>
      </c>
      <c r="V105" s="9">
        <v>4</v>
      </c>
      <c r="W105" s="9">
        <v>3</v>
      </c>
      <c r="X105" s="9">
        <v>3</v>
      </c>
      <c r="Y105" s="9">
        <v>2</v>
      </c>
      <c r="Z105" s="9">
        <v>3</v>
      </c>
      <c r="AA105" s="9">
        <v>1</v>
      </c>
      <c r="AB105" s="9">
        <v>1</v>
      </c>
      <c r="AC105" s="1">
        <f t="shared" si="19"/>
        <v>17</v>
      </c>
      <c r="AD105" s="1">
        <f t="shared" si="20"/>
        <v>35.714285714285715</v>
      </c>
      <c r="AE105" s="9">
        <v>2</v>
      </c>
      <c r="AF105" s="9">
        <v>1</v>
      </c>
      <c r="AG105" s="9">
        <v>4</v>
      </c>
      <c r="AH105" s="9">
        <v>2</v>
      </c>
      <c r="AI105" s="9">
        <v>3</v>
      </c>
      <c r="AJ105" s="9">
        <v>5</v>
      </c>
      <c r="AK105" s="9">
        <v>5</v>
      </c>
      <c r="AL105" s="9">
        <v>2</v>
      </c>
      <c r="AM105" s="1">
        <f t="shared" si="21"/>
        <v>24</v>
      </c>
      <c r="AN105" s="1">
        <f t="shared" si="22"/>
        <v>50</v>
      </c>
      <c r="AQ105" s="1">
        <f t="shared" si="24"/>
        <v>269.21428571428572</v>
      </c>
      <c r="AR105" s="1">
        <f t="shared" si="25"/>
        <v>236.57142857142856</v>
      </c>
      <c r="AS105" s="1">
        <f t="shared" si="23"/>
        <v>505.78571428571428</v>
      </c>
      <c r="AT105" s="1" t="s">
        <v>252</v>
      </c>
      <c r="AU105" s="20">
        <v>1</v>
      </c>
    </row>
    <row r="106" spans="1:47">
      <c r="A106" t="s">
        <v>242</v>
      </c>
      <c r="B106" s="9">
        <v>1</v>
      </c>
      <c r="C106" s="9">
        <v>2</v>
      </c>
      <c r="D106" s="9">
        <v>5</v>
      </c>
      <c r="E106" s="9">
        <v>5</v>
      </c>
      <c r="F106" s="9">
        <v>5</v>
      </c>
      <c r="G106" s="9">
        <v>4</v>
      </c>
      <c r="H106" s="9">
        <v>3</v>
      </c>
      <c r="I106" s="9">
        <v>1</v>
      </c>
      <c r="J106" s="1">
        <f t="shared" si="15"/>
        <v>26</v>
      </c>
      <c r="K106" s="1">
        <f t="shared" si="16"/>
        <v>56.25</v>
      </c>
      <c r="L106" s="9">
        <v>3</v>
      </c>
      <c r="M106" s="9">
        <v>1</v>
      </c>
      <c r="N106" s="9">
        <v>1</v>
      </c>
      <c r="O106" s="9">
        <v>3</v>
      </c>
      <c r="P106" s="9">
        <v>1</v>
      </c>
      <c r="Q106" s="9">
        <v>1</v>
      </c>
      <c r="R106" s="9">
        <v>1</v>
      </c>
      <c r="S106" s="9">
        <v>1</v>
      </c>
      <c r="T106" s="1">
        <f t="shared" si="17"/>
        <v>12</v>
      </c>
      <c r="U106" s="1">
        <f t="shared" si="18"/>
        <v>12.5</v>
      </c>
      <c r="V106" s="9">
        <v>3</v>
      </c>
      <c r="W106" s="9">
        <v>3</v>
      </c>
      <c r="X106" s="9">
        <v>1</v>
      </c>
      <c r="Y106" s="9">
        <v>1</v>
      </c>
      <c r="Z106" s="9">
        <v>1</v>
      </c>
      <c r="AA106" s="9">
        <v>1</v>
      </c>
      <c r="AB106" s="9">
        <v>1</v>
      </c>
      <c r="AC106" s="1">
        <f t="shared" si="19"/>
        <v>11</v>
      </c>
      <c r="AD106" s="1">
        <f t="shared" si="20"/>
        <v>14.285714285714285</v>
      </c>
      <c r="AE106" s="9">
        <v>3</v>
      </c>
      <c r="AF106" s="9">
        <v>1</v>
      </c>
      <c r="AG106" s="9">
        <v>3</v>
      </c>
      <c r="AH106" s="9">
        <v>1</v>
      </c>
      <c r="AI106" s="9">
        <v>3</v>
      </c>
      <c r="AJ106" s="9">
        <v>1</v>
      </c>
      <c r="AK106" s="9">
        <v>2</v>
      </c>
      <c r="AL106" s="9">
        <v>1</v>
      </c>
      <c r="AM106" s="1">
        <f t="shared" si="21"/>
        <v>15</v>
      </c>
      <c r="AN106" s="1">
        <f t="shared" si="22"/>
        <v>21.875</v>
      </c>
      <c r="AQ106" s="1">
        <f t="shared" si="24"/>
        <v>196.03571428571428</v>
      </c>
      <c r="AR106" s="1">
        <f t="shared" si="25"/>
        <v>151.64285714285714</v>
      </c>
      <c r="AS106" s="1">
        <f t="shared" si="23"/>
        <v>347.67857142857144</v>
      </c>
      <c r="AT106" s="1" t="s">
        <v>252</v>
      </c>
      <c r="AU106" s="20">
        <v>1</v>
      </c>
    </row>
    <row r="107" spans="1:47">
      <c r="B107" s="56"/>
      <c r="C107" s="56"/>
      <c r="D107" s="56"/>
      <c r="E107" s="56"/>
      <c r="F107" s="56"/>
      <c r="G107" s="56"/>
      <c r="H107" s="56"/>
      <c r="I107" s="56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Q107" s="1"/>
      <c r="AR107" s="1"/>
    </row>
    <row r="108" spans="1:47"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Q108" s="1"/>
      <c r="AR108" s="1"/>
    </row>
    <row r="109" spans="1:47"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Q109" s="1"/>
      <c r="AR109" s="1"/>
    </row>
    <row r="110" spans="1:47"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Q110" s="1"/>
      <c r="AR110" s="1"/>
    </row>
    <row r="111" spans="1:47">
      <c r="A111" s="48" t="s">
        <v>86</v>
      </c>
      <c r="B111" s="41">
        <v>5</v>
      </c>
      <c r="C111" s="43"/>
      <c r="D111" s="43"/>
      <c r="E111" s="43"/>
      <c r="F111" s="43"/>
      <c r="G111" s="43"/>
      <c r="H111" s="43"/>
      <c r="I111" s="42"/>
      <c r="J111" s="52" t="s">
        <v>249</v>
      </c>
      <c r="K111" s="52" t="s">
        <v>250</v>
      </c>
      <c r="L111" s="41">
        <v>6</v>
      </c>
      <c r="M111" s="43"/>
      <c r="N111" s="43"/>
      <c r="O111" s="43"/>
      <c r="P111" s="43"/>
      <c r="Q111" s="43"/>
      <c r="R111" s="42"/>
      <c r="S111" s="52" t="s">
        <v>249</v>
      </c>
      <c r="T111" s="52" t="s">
        <v>250</v>
      </c>
      <c r="U111" s="41">
        <v>7</v>
      </c>
      <c r="V111" s="43"/>
      <c r="W111" s="43"/>
      <c r="X111" s="43"/>
      <c r="Y111" s="43"/>
      <c r="Z111" s="43"/>
      <c r="AA111" s="42"/>
      <c r="AB111" s="52" t="s">
        <v>249</v>
      </c>
      <c r="AC111" s="52" t="s">
        <v>250</v>
      </c>
      <c r="AD111" s="41">
        <v>8</v>
      </c>
      <c r="AE111" s="43"/>
      <c r="AF111" s="43"/>
      <c r="AG111" s="43"/>
      <c r="AH111" s="43"/>
      <c r="AI111" s="43"/>
      <c r="AJ111" s="42"/>
      <c r="AK111" s="52" t="s">
        <v>249</v>
      </c>
      <c r="AL111" s="52" t="s">
        <v>250</v>
      </c>
      <c r="AM111" s="41">
        <v>9</v>
      </c>
      <c r="AN111" s="43"/>
      <c r="AO111" s="43"/>
      <c r="AP111" s="43"/>
      <c r="AQ111" s="43"/>
      <c r="AR111" s="43"/>
      <c r="AS111" s="42"/>
      <c r="AT111" s="52" t="s">
        <v>249</v>
      </c>
      <c r="AU111" s="52" t="s">
        <v>250</v>
      </c>
    </row>
    <row r="112" spans="1:47">
      <c r="A112" s="49"/>
      <c r="B112" s="17" t="s">
        <v>201</v>
      </c>
      <c r="C112" s="17" t="s">
        <v>202</v>
      </c>
      <c r="D112" s="17" t="s">
        <v>203</v>
      </c>
      <c r="E112" s="17" t="s">
        <v>204</v>
      </c>
      <c r="F112" s="17" t="s">
        <v>205</v>
      </c>
      <c r="G112" s="17" t="s">
        <v>206</v>
      </c>
      <c r="H112" s="17" t="s">
        <v>207</v>
      </c>
      <c r="I112" s="17" t="s">
        <v>208</v>
      </c>
      <c r="J112" s="53"/>
      <c r="K112" s="53"/>
      <c r="L112" s="17" t="s">
        <v>201</v>
      </c>
      <c r="M112" s="17" t="s">
        <v>202</v>
      </c>
      <c r="N112" s="17" t="s">
        <v>203</v>
      </c>
      <c r="O112" s="17" t="s">
        <v>204</v>
      </c>
      <c r="P112" s="17" t="s">
        <v>205</v>
      </c>
      <c r="Q112" s="17" t="s">
        <v>206</v>
      </c>
      <c r="R112" s="17" t="s">
        <v>207</v>
      </c>
      <c r="S112" s="53" t="s">
        <v>201</v>
      </c>
      <c r="T112" s="53" t="s">
        <v>201</v>
      </c>
      <c r="U112" s="17" t="s">
        <v>201</v>
      </c>
      <c r="V112" s="17" t="s">
        <v>202</v>
      </c>
      <c r="W112" s="17" t="s">
        <v>203</v>
      </c>
      <c r="X112" s="17" t="s">
        <v>204</v>
      </c>
      <c r="Y112" s="17" t="s">
        <v>205</v>
      </c>
      <c r="Z112" s="17" t="s">
        <v>206</v>
      </c>
      <c r="AA112" s="17" t="s">
        <v>207</v>
      </c>
      <c r="AB112" s="53" t="s">
        <v>201</v>
      </c>
      <c r="AC112" s="53"/>
      <c r="AD112" s="17" t="s">
        <v>201</v>
      </c>
      <c r="AE112" s="17" t="s">
        <v>202</v>
      </c>
      <c r="AF112" s="17" t="s">
        <v>203</v>
      </c>
      <c r="AG112" s="17" t="s">
        <v>204</v>
      </c>
      <c r="AH112" s="17" t="s">
        <v>205</v>
      </c>
      <c r="AI112" s="17" t="s">
        <v>206</v>
      </c>
      <c r="AJ112" s="17" t="s">
        <v>207</v>
      </c>
      <c r="AK112" s="53" t="s">
        <v>201</v>
      </c>
      <c r="AL112" s="53" t="s">
        <v>202</v>
      </c>
      <c r="AM112" s="17" t="s">
        <v>201</v>
      </c>
      <c r="AN112" s="17" t="s">
        <v>202</v>
      </c>
      <c r="AO112" s="17" t="s">
        <v>203</v>
      </c>
      <c r="AP112" s="17" t="s">
        <v>204</v>
      </c>
      <c r="AQ112" s="17" t="s">
        <v>205</v>
      </c>
      <c r="AR112" s="17" t="s">
        <v>206</v>
      </c>
      <c r="AS112" s="17" t="s">
        <v>207</v>
      </c>
      <c r="AT112" s="53"/>
      <c r="AU112" s="53"/>
    </row>
    <row r="113" spans="1:47">
      <c r="A113" t="s">
        <v>87</v>
      </c>
      <c r="B113">
        <v>1</v>
      </c>
      <c r="C113">
        <v>1</v>
      </c>
      <c r="D113">
        <v>5</v>
      </c>
      <c r="E113">
        <v>5</v>
      </c>
      <c r="F113">
        <v>3</v>
      </c>
      <c r="G113">
        <v>2</v>
      </c>
      <c r="H113">
        <v>2</v>
      </c>
      <c r="I113">
        <v>2</v>
      </c>
      <c r="J113">
        <f>SUM(B113:I113)</f>
        <v>21</v>
      </c>
      <c r="K113">
        <f>((J113-8)/(8*4))*100</f>
        <v>40.625</v>
      </c>
      <c r="L113">
        <v>4</v>
      </c>
      <c r="M113">
        <v>2</v>
      </c>
      <c r="N113">
        <v>4</v>
      </c>
      <c r="O113">
        <v>1</v>
      </c>
      <c r="P113">
        <v>1</v>
      </c>
      <c r="R113">
        <v>1</v>
      </c>
      <c r="S113">
        <f>SUM(L113:R113)</f>
        <v>13</v>
      </c>
      <c r="T113">
        <f>((S113-7)/(7*4))*100</f>
        <v>21.428571428571427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4</v>
      </c>
      <c r="AA113">
        <v>1</v>
      </c>
      <c r="AB113">
        <f>SUM(U113:AA113)</f>
        <v>10</v>
      </c>
      <c r="AC113">
        <f>((AB113-7)/(7*4))*100</f>
        <v>10.714285714285714</v>
      </c>
      <c r="AD113">
        <v>2</v>
      </c>
      <c r="AE113">
        <v>2</v>
      </c>
      <c r="AF113">
        <v>1</v>
      </c>
      <c r="AG113">
        <v>2</v>
      </c>
      <c r="AH113">
        <v>1</v>
      </c>
      <c r="AI113">
        <v>1</v>
      </c>
      <c r="AJ113">
        <v>3</v>
      </c>
      <c r="AK113">
        <f>SUM(AD113:AJ113)</f>
        <v>12</v>
      </c>
      <c r="AL113">
        <f>((AK113-7)/(7*4))*100</f>
        <v>17.857142857142858</v>
      </c>
      <c r="AM113">
        <v>2</v>
      </c>
      <c r="AN113">
        <v>5</v>
      </c>
      <c r="AO113">
        <v>2</v>
      </c>
      <c r="AP113">
        <v>2</v>
      </c>
      <c r="AQ113">
        <v>1</v>
      </c>
      <c r="AR113">
        <v>1</v>
      </c>
      <c r="AS113" s="1">
        <v>1</v>
      </c>
      <c r="AT113" s="1">
        <f>SUM(AM113:AS113)</f>
        <v>14</v>
      </c>
      <c r="AU113" s="1">
        <f>((AT113-7)/(7*4))*100</f>
        <v>25</v>
      </c>
    </row>
    <row r="114" spans="1:47">
      <c r="A114" t="s">
        <v>88</v>
      </c>
      <c r="B114">
        <v>4</v>
      </c>
      <c r="C114">
        <v>5</v>
      </c>
      <c r="D114">
        <v>5</v>
      </c>
      <c r="E114">
        <v>5</v>
      </c>
      <c r="F114">
        <v>5</v>
      </c>
      <c r="G114">
        <v>5</v>
      </c>
      <c r="H114">
        <v>5</v>
      </c>
      <c r="I114">
        <v>5</v>
      </c>
      <c r="J114">
        <f>SUM(B114:I114)</f>
        <v>39</v>
      </c>
      <c r="K114">
        <f t="shared" ref="K114:K177" si="26">((J114-8)/(8*4))*100</f>
        <v>96.875</v>
      </c>
      <c r="L114">
        <v>5</v>
      </c>
      <c r="M114">
        <v>5</v>
      </c>
      <c r="N114">
        <v>5</v>
      </c>
      <c r="O114">
        <v>5</v>
      </c>
      <c r="P114">
        <v>5</v>
      </c>
      <c r="R114">
        <v>3</v>
      </c>
      <c r="S114">
        <f t="shared" ref="S114:S177" si="27">SUM(L114:R114)</f>
        <v>28</v>
      </c>
      <c r="T114">
        <f t="shared" ref="T114:T177" si="28">((S114-7)/(7*4))*100</f>
        <v>75</v>
      </c>
      <c r="U114">
        <v>4</v>
      </c>
      <c r="V114">
        <v>4</v>
      </c>
      <c r="W114">
        <v>5</v>
      </c>
      <c r="X114">
        <v>5</v>
      </c>
      <c r="Y114">
        <v>5</v>
      </c>
      <c r="Z114">
        <v>5</v>
      </c>
      <c r="AA114">
        <v>5</v>
      </c>
      <c r="AB114">
        <f t="shared" ref="AB114:AB177" si="29">SUM(U114:AA114)</f>
        <v>33</v>
      </c>
      <c r="AC114">
        <f t="shared" ref="AC114:AC177" si="30">((AB114-7)/(7*4))*100</f>
        <v>92.857142857142861</v>
      </c>
      <c r="AD114">
        <v>4</v>
      </c>
      <c r="AE114">
        <v>4</v>
      </c>
      <c r="AF114">
        <v>4</v>
      </c>
      <c r="AG114">
        <v>4</v>
      </c>
      <c r="AH114">
        <v>3</v>
      </c>
      <c r="AI114">
        <v>3</v>
      </c>
      <c r="AJ114">
        <v>3</v>
      </c>
      <c r="AK114">
        <f t="shared" ref="AK114:AK177" si="31">SUM(AD114:AJ114)</f>
        <v>25</v>
      </c>
      <c r="AL114">
        <f t="shared" ref="AL114:AL177" si="32">((AK114-7)/(7*4))*100</f>
        <v>64.285714285714292</v>
      </c>
      <c r="AM114">
        <v>2</v>
      </c>
      <c r="AN114">
        <v>2</v>
      </c>
      <c r="AO114">
        <v>3</v>
      </c>
      <c r="AP114">
        <v>3</v>
      </c>
      <c r="AQ114">
        <v>3</v>
      </c>
      <c r="AR114">
        <v>4</v>
      </c>
      <c r="AS114" s="1">
        <v>4</v>
      </c>
      <c r="AT114" s="1">
        <f t="shared" ref="AT114:AT177" si="33">SUM(AM114:AS114)</f>
        <v>21</v>
      </c>
      <c r="AU114" s="1">
        <f t="shared" ref="AU114:AU177" si="34">((AT114-7)/(7*4))*100</f>
        <v>50</v>
      </c>
    </row>
    <row r="115" spans="1:47">
      <c r="A115" t="s">
        <v>89</v>
      </c>
      <c r="B115">
        <v>1</v>
      </c>
      <c r="C115">
        <v>1</v>
      </c>
      <c r="D115">
        <v>1</v>
      </c>
      <c r="E115">
        <v>4</v>
      </c>
      <c r="F115">
        <v>1</v>
      </c>
      <c r="G115">
        <v>1</v>
      </c>
      <c r="H115">
        <v>1</v>
      </c>
      <c r="I115">
        <v>1</v>
      </c>
      <c r="J115">
        <f t="shared" ref="J115:J178" si="35">SUM(B115:I115)</f>
        <v>11</v>
      </c>
      <c r="K115">
        <f t="shared" si="26"/>
        <v>9.375</v>
      </c>
      <c r="L115">
        <v>4</v>
      </c>
      <c r="M115">
        <v>1</v>
      </c>
      <c r="N115">
        <v>1</v>
      </c>
      <c r="O115">
        <v>1</v>
      </c>
      <c r="P115">
        <v>1</v>
      </c>
      <c r="R115">
        <v>1</v>
      </c>
      <c r="S115">
        <f t="shared" si="27"/>
        <v>9</v>
      </c>
      <c r="T115">
        <f t="shared" si="28"/>
        <v>7.1428571428571423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3</v>
      </c>
      <c r="AA115">
        <v>2</v>
      </c>
      <c r="AB115">
        <f t="shared" si="29"/>
        <v>10</v>
      </c>
      <c r="AC115">
        <f t="shared" si="30"/>
        <v>10.714285714285714</v>
      </c>
      <c r="AD115">
        <v>1</v>
      </c>
      <c r="AE115">
        <v>2</v>
      </c>
      <c r="AF115">
        <v>1</v>
      </c>
      <c r="AG115">
        <v>2</v>
      </c>
      <c r="AH115">
        <v>1</v>
      </c>
      <c r="AI115">
        <v>1</v>
      </c>
      <c r="AJ115">
        <v>1</v>
      </c>
      <c r="AK115">
        <f t="shared" si="31"/>
        <v>9</v>
      </c>
      <c r="AL115">
        <f t="shared" si="32"/>
        <v>7.1428571428571423</v>
      </c>
      <c r="AM115">
        <v>3</v>
      </c>
      <c r="AN115">
        <v>1</v>
      </c>
      <c r="AO115">
        <v>1</v>
      </c>
      <c r="AP115">
        <v>5</v>
      </c>
      <c r="AQ115">
        <v>1</v>
      </c>
      <c r="AR115">
        <v>1</v>
      </c>
      <c r="AS115" s="1">
        <v>3</v>
      </c>
      <c r="AT115" s="1">
        <f t="shared" si="33"/>
        <v>15</v>
      </c>
      <c r="AU115" s="1">
        <f t="shared" si="34"/>
        <v>28.571428571428569</v>
      </c>
    </row>
    <row r="116" spans="1:47">
      <c r="A116" t="s">
        <v>90</v>
      </c>
      <c r="B116">
        <v>2</v>
      </c>
      <c r="C116">
        <v>4</v>
      </c>
      <c r="D116">
        <v>1</v>
      </c>
      <c r="E116">
        <v>5</v>
      </c>
      <c r="F116">
        <v>2</v>
      </c>
      <c r="G116">
        <v>2</v>
      </c>
      <c r="H116">
        <v>3</v>
      </c>
      <c r="I116">
        <v>2</v>
      </c>
      <c r="J116">
        <f t="shared" si="35"/>
        <v>21</v>
      </c>
      <c r="K116">
        <f t="shared" si="26"/>
        <v>40.625</v>
      </c>
      <c r="L116">
        <v>5</v>
      </c>
      <c r="M116">
        <v>3</v>
      </c>
      <c r="N116">
        <v>2</v>
      </c>
      <c r="O116">
        <v>2</v>
      </c>
      <c r="P116">
        <v>2</v>
      </c>
      <c r="R116">
        <v>1</v>
      </c>
      <c r="S116">
        <f t="shared" si="27"/>
        <v>15</v>
      </c>
      <c r="T116">
        <f t="shared" si="28"/>
        <v>28.571428571428569</v>
      </c>
      <c r="U116">
        <v>1</v>
      </c>
      <c r="V116">
        <v>3</v>
      </c>
      <c r="W116">
        <v>2</v>
      </c>
      <c r="X116">
        <v>2</v>
      </c>
      <c r="Y116">
        <v>1</v>
      </c>
      <c r="Z116">
        <v>2</v>
      </c>
      <c r="AA116">
        <v>3</v>
      </c>
      <c r="AB116">
        <f t="shared" si="29"/>
        <v>14</v>
      </c>
      <c r="AC116">
        <f t="shared" si="30"/>
        <v>25</v>
      </c>
      <c r="AD116">
        <v>2</v>
      </c>
      <c r="AE116">
        <v>2</v>
      </c>
      <c r="AF116">
        <v>2</v>
      </c>
      <c r="AG116">
        <v>5</v>
      </c>
      <c r="AH116">
        <v>2</v>
      </c>
      <c r="AI116">
        <v>5</v>
      </c>
      <c r="AJ116">
        <v>1</v>
      </c>
      <c r="AK116">
        <f t="shared" si="31"/>
        <v>19</v>
      </c>
      <c r="AL116">
        <f t="shared" si="32"/>
        <v>42.857142857142854</v>
      </c>
      <c r="AM116">
        <v>3</v>
      </c>
      <c r="AN116">
        <v>5</v>
      </c>
      <c r="AO116">
        <v>2</v>
      </c>
      <c r="AP116">
        <v>2</v>
      </c>
      <c r="AQ116">
        <v>1</v>
      </c>
      <c r="AR116">
        <v>1</v>
      </c>
      <c r="AS116" s="1">
        <v>4</v>
      </c>
      <c r="AT116" s="1">
        <f t="shared" si="33"/>
        <v>18</v>
      </c>
      <c r="AU116" s="1">
        <f t="shared" si="34"/>
        <v>39.285714285714285</v>
      </c>
    </row>
    <row r="117" spans="1:47">
      <c r="A117" t="s">
        <v>8</v>
      </c>
      <c r="B117">
        <v>3</v>
      </c>
      <c r="C117">
        <v>2</v>
      </c>
      <c r="D117">
        <v>2</v>
      </c>
      <c r="E117">
        <v>4</v>
      </c>
      <c r="F117">
        <v>1</v>
      </c>
      <c r="G117">
        <v>1</v>
      </c>
      <c r="H117">
        <v>1</v>
      </c>
      <c r="I117">
        <v>3</v>
      </c>
      <c r="J117">
        <f t="shared" si="35"/>
        <v>17</v>
      </c>
      <c r="K117">
        <f t="shared" si="26"/>
        <v>28.125</v>
      </c>
      <c r="L117">
        <v>4</v>
      </c>
      <c r="M117">
        <v>1</v>
      </c>
      <c r="N117">
        <v>2</v>
      </c>
      <c r="O117">
        <v>1</v>
      </c>
      <c r="P117">
        <v>3</v>
      </c>
      <c r="R117">
        <v>2</v>
      </c>
      <c r="S117">
        <f t="shared" si="27"/>
        <v>13</v>
      </c>
      <c r="T117">
        <f t="shared" si="28"/>
        <v>21.428571428571427</v>
      </c>
      <c r="U117">
        <v>1</v>
      </c>
      <c r="V117">
        <v>1</v>
      </c>
      <c r="W117">
        <v>3</v>
      </c>
      <c r="X117">
        <v>1</v>
      </c>
      <c r="Y117">
        <v>1</v>
      </c>
      <c r="Z117">
        <v>2</v>
      </c>
      <c r="AA117">
        <v>1</v>
      </c>
      <c r="AB117">
        <f t="shared" si="29"/>
        <v>10</v>
      </c>
      <c r="AC117">
        <f t="shared" si="30"/>
        <v>10.714285714285714</v>
      </c>
      <c r="AD117">
        <v>1</v>
      </c>
      <c r="AE117">
        <v>1</v>
      </c>
      <c r="AF117">
        <v>1</v>
      </c>
      <c r="AG117">
        <v>1</v>
      </c>
      <c r="AH117">
        <v>1</v>
      </c>
      <c r="AI117">
        <v>2</v>
      </c>
      <c r="AJ117">
        <v>1</v>
      </c>
      <c r="AK117">
        <f t="shared" si="31"/>
        <v>8</v>
      </c>
      <c r="AL117">
        <f t="shared" si="32"/>
        <v>3.5714285714285712</v>
      </c>
      <c r="AM117">
        <v>3</v>
      </c>
      <c r="AN117">
        <v>2</v>
      </c>
      <c r="AO117">
        <v>2</v>
      </c>
      <c r="AP117">
        <v>1</v>
      </c>
      <c r="AQ117">
        <v>1</v>
      </c>
      <c r="AR117">
        <v>1</v>
      </c>
      <c r="AS117" s="1">
        <v>1</v>
      </c>
      <c r="AT117" s="1">
        <f t="shared" si="33"/>
        <v>11</v>
      </c>
      <c r="AU117" s="1">
        <f t="shared" si="34"/>
        <v>14.285714285714285</v>
      </c>
    </row>
    <row r="118" spans="1:47">
      <c r="A118" t="s">
        <v>9</v>
      </c>
      <c r="B118">
        <v>4</v>
      </c>
      <c r="C118">
        <v>4</v>
      </c>
      <c r="D118">
        <v>4</v>
      </c>
      <c r="E118">
        <v>4</v>
      </c>
      <c r="F118">
        <v>3</v>
      </c>
      <c r="G118">
        <v>3</v>
      </c>
      <c r="H118">
        <v>3</v>
      </c>
      <c r="I118">
        <v>4</v>
      </c>
      <c r="J118">
        <f t="shared" si="35"/>
        <v>29</v>
      </c>
      <c r="K118">
        <f t="shared" si="26"/>
        <v>65.625</v>
      </c>
      <c r="L118">
        <v>4</v>
      </c>
      <c r="M118">
        <v>4</v>
      </c>
      <c r="N118">
        <v>3</v>
      </c>
      <c r="O118">
        <v>3</v>
      </c>
      <c r="P118">
        <v>3</v>
      </c>
      <c r="R118">
        <v>3</v>
      </c>
      <c r="S118">
        <f t="shared" si="27"/>
        <v>20</v>
      </c>
      <c r="T118">
        <f t="shared" si="28"/>
        <v>46.428571428571431</v>
      </c>
      <c r="U118">
        <v>2</v>
      </c>
      <c r="V118">
        <v>2</v>
      </c>
      <c r="W118">
        <v>3</v>
      </c>
      <c r="X118">
        <v>3</v>
      </c>
      <c r="Y118">
        <v>4</v>
      </c>
      <c r="Z118">
        <v>4</v>
      </c>
      <c r="AA118">
        <v>4</v>
      </c>
      <c r="AB118">
        <f t="shared" si="29"/>
        <v>22</v>
      </c>
      <c r="AC118">
        <f t="shared" si="30"/>
        <v>53.571428571428569</v>
      </c>
      <c r="AD118">
        <v>2</v>
      </c>
      <c r="AE118">
        <v>3</v>
      </c>
      <c r="AF118">
        <v>2</v>
      </c>
      <c r="AG118">
        <v>2</v>
      </c>
      <c r="AH118">
        <v>2</v>
      </c>
      <c r="AI118">
        <v>2</v>
      </c>
      <c r="AJ118">
        <v>2</v>
      </c>
      <c r="AK118">
        <f t="shared" si="31"/>
        <v>15</v>
      </c>
      <c r="AL118">
        <f t="shared" si="32"/>
        <v>28.571428571428569</v>
      </c>
      <c r="AM118">
        <v>4</v>
      </c>
      <c r="AN118">
        <v>4</v>
      </c>
      <c r="AO118">
        <v>2</v>
      </c>
      <c r="AP118">
        <v>4</v>
      </c>
      <c r="AQ118">
        <v>3</v>
      </c>
      <c r="AR118">
        <v>1</v>
      </c>
      <c r="AS118" s="1">
        <v>2</v>
      </c>
      <c r="AT118" s="1">
        <f t="shared" si="33"/>
        <v>20</v>
      </c>
      <c r="AU118" s="1">
        <f t="shared" si="34"/>
        <v>46.428571428571431</v>
      </c>
    </row>
    <row r="119" spans="1:47">
      <c r="A119" t="s">
        <v>10</v>
      </c>
      <c r="B119">
        <v>1</v>
      </c>
      <c r="C119">
        <v>2</v>
      </c>
      <c r="D119">
        <v>4</v>
      </c>
      <c r="E119">
        <v>2</v>
      </c>
      <c r="F119">
        <v>2</v>
      </c>
      <c r="G119">
        <v>1</v>
      </c>
      <c r="H119">
        <v>3</v>
      </c>
      <c r="I119">
        <v>2</v>
      </c>
      <c r="J119">
        <f t="shared" si="35"/>
        <v>17</v>
      </c>
      <c r="K119">
        <f t="shared" si="26"/>
        <v>28.125</v>
      </c>
      <c r="L119">
        <v>4</v>
      </c>
      <c r="M119">
        <v>2</v>
      </c>
      <c r="N119">
        <v>1</v>
      </c>
      <c r="O119">
        <v>1</v>
      </c>
      <c r="P119">
        <v>1</v>
      </c>
      <c r="R119">
        <v>1</v>
      </c>
      <c r="S119">
        <f t="shared" si="27"/>
        <v>10</v>
      </c>
      <c r="T119">
        <f t="shared" si="28"/>
        <v>10.714285714285714</v>
      </c>
      <c r="U119">
        <v>1</v>
      </c>
      <c r="V119">
        <v>1</v>
      </c>
      <c r="W119">
        <v>2</v>
      </c>
      <c r="X119">
        <v>3</v>
      </c>
      <c r="Y119">
        <v>5</v>
      </c>
      <c r="Z119">
        <v>2</v>
      </c>
      <c r="AA119">
        <v>1</v>
      </c>
      <c r="AB119">
        <f t="shared" si="29"/>
        <v>15</v>
      </c>
      <c r="AC119">
        <f t="shared" si="30"/>
        <v>28.571428571428569</v>
      </c>
      <c r="AD119">
        <v>2</v>
      </c>
      <c r="AE119">
        <v>3</v>
      </c>
      <c r="AF119">
        <v>2</v>
      </c>
      <c r="AG119">
        <v>2</v>
      </c>
      <c r="AH119">
        <v>1</v>
      </c>
      <c r="AI119">
        <v>3</v>
      </c>
      <c r="AJ119">
        <v>2</v>
      </c>
      <c r="AK119">
        <f t="shared" si="31"/>
        <v>15</v>
      </c>
      <c r="AL119">
        <f t="shared" si="32"/>
        <v>28.571428571428569</v>
      </c>
      <c r="AM119">
        <v>4</v>
      </c>
      <c r="AN119">
        <v>5</v>
      </c>
      <c r="AO119">
        <v>2</v>
      </c>
      <c r="AP119">
        <v>1</v>
      </c>
      <c r="AQ119">
        <v>1</v>
      </c>
      <c r="AR119">
        <v>1</v>
      </c>
      <c r="AS119" s="1">
        <v>1</v>
      </c>
      <c r="AT119" s="1">
        <f t="shared" si="33"/>
        <v>15</v>
      </c>
      <c r="AU119" s="1">
        <f t="shared" si="34"/>
        <v>28.571428571428569</v>
      </c>
    </row>
    <row r="120" spans="1:47">
      <c r="A120" t="s">
        <v>11</v>
      </c>
      <c r="B120">
        <v>2</v>
      </c>
      <c r="C120">
        <v>4</v>
      </c>
      <c r="D120">
        <v>4</v>
      </c>
      <c r="E120">
        <v>4</v>
      </c>
      <c r="F120">
        <v>3</v>
      </c>
      <c r="G120">
        <v>2</v>
      </c>
      <c r="H120">
        <v>5</v>
      </c>
      <c r="I120">
        <v>2</v>
      </c>
      <c r="J120">
        <f t="shared" si="35"/>
        <v>26</v>
      </c>
      <c r="K120">
        <f t="shared" si="26"/>
        <v>56.25</v>
      </c>
      <c r="L120">
        <v>4</v>
      </c>
      <c r="M120">
        <v>4</v>
      </c>
      <c r="N120">
        <v>2</v>
      </c>
      <c r="O120">
        <v>3</v>
      </c>
      <c r="P120">
        <v>2</v>
      </c>
      <c r="Q120">
        <v>3</v>
      </c>
      <c r="S120">
        <f t="shared" si="27"/>
        <v>18</v>
      </c>
      <c r="T120">
        <f t="shared" si="28"/>
        <v>39.285714285714285</v>
      </c>
      <c r="U120">
        <v>4</v>
      </c>
      <c r="V120">
        <v>1</v>
      </c>
      <c r="W120">
        <v>5</v>
      </c>
      <c r="X120">
        <v>4</v>
      </c>
      <c r="Y120">
        <v>5</v>
      </c>
      <c r="Z120">
        <v>4</v>
      </c>
      <c r="AA120">
        <v>4</v>
      </c>
      <c r="AB120">
        <f t="shared" si="29"/>
        <v>27</v>
      </c>
      <c r="AC120">
        <f t="shared" si="30"/>
        <v>71.428571428571431</v>
      </c>
      <c r="AD120">
        <v>4</v>
      </c>
      <c r="AE120">
        <v>5</v>
      </c>
      <c r="AF120">
        <v>4</v>
      </c>
      <c r="AG120">
        <v>3</v>
      </c>
      <c r="AH120">
        <v>2</v>
      </c>
      <c r="AI120">
        <v>3</v>
      </c>
      <c r="AJ120">
        <v>5</v>
      </c>
      <c r="AK120">
        <f t="shared" si="31"/>
        <v>26</v>
      </c>
      <c r="AL120">
        <f t="shared" si="32"/>
        <v>67.857142857142861</v>
      </c>
      <c r="AM120">
        <v>3</v>
      </c>
      <c r="AN120">
        <v>2</v>
      </c>
      <c r="AO120">
        <v>4</v>
      </c>
      <c r="AP120">
        <v>5</v>
      </c>
      <c r="AQ120">
        <v>2</v>
      </c>
      <c r="AR120">
        <v>2</v>
      </c>
      <c r="AS120" s="1">
        <v>5</v>
      </c>
      <c r="AT120" s="1">
        <f t="shared" si="33"/>
        <v>23</v>
      </c>
      <c r="AU120" s="1">
        <f t="shared" si="34"/>
        <v>57.142857142857139</v>
      </c>
    </row>
    <row r="121" spans="1:47">
      <c r="A121" t="s">
        <v>12</v>
      </c>
      <c r="B121">
        <v>3</v>
      </c>
      <c r="C121">
        <v>3</v>
      </c>
      <c r="D121">
        <v>5</v>
      </c>
      <c r="E121">
        <v>5</v>
      </c>
      <c r="F121">
        <v>2</v>
      </c>
      <c r="G121">
        <v>2</v>
      </c>
      <c r="H121">
        <v>1</v>
      </c>
      <c r="I121">
        <v>4</v>
      </c>
      <c r="J121">
        <f t="shared" si="35"/>
        <v>25</v>
      </c>
      <c r="K121">
        <f t="shared" si="26"/>
        <v>53.125</v>
      </c>
      <c r="L121">
        <v>3</v>
      </c>
      <c r="M121">
        <v>2</v>
      </c>
      <c r="N121">
        <v>3</v>
      </c>
      <c r="O121">
        <v>2</v>
      </c>
      <c r="P121">
        <v>2</v>
      </c>
      <c r="R121">
        <v>2</v>
      </c>
      <c r="S121">
        <f t="shared" si="27"/>
        <v>14</v>
      </c>
      <c r="T121">
        <f t="shared" si="28"/>
        <v>25</v>
      </c>
      <c r="U121">
        <v>1</v>
      </c>
      <c r="V121">
        <v>1</v>
      </c>
      <c r="W121">
        <v>3</v>
      </c>
      <c r="X121">
        <v>2</v>
      </c>
      <c r="Y121">
        <v>4</v>
      </c>
      <c r="Z121">
        <v>3</v>
      </c>
      <c r="AA121">
        <v>2</v>
      </c>
      <c r="AB121">
        <f t="shared" si="29"/>
        <v>16</v>
      </c>
      <c r="AC121">
        <f t="shared" si="30"/>
        <v>32.142857142857146</v>
      </c>
      <c r="AD121">
        <v>3</v>
      </c>
      <c r="AE121">
        <v>2</v>
      </c>
      <c r="AF121">
        <v>1</v>
      </c>
      <c r="AG121">
        <v>2</v>
      </c>
      <c r="AH121">
        <v>2</v>
      </c>
      <c r="AI121">
        <v>3</v>
      </c>
      <c r="AJ121">
        <v>1</v>
      </c>
      <c r="AK121">
        <f t="shared" si="31"/>
        <v>14</v>
      </c>
      <c r="AL121">
        <f t="shared" si="32"/>
        <v>25</v>
      </c>
      <c r="AM121">
        <v>1</v>
      </c>
      <c r="AN121">
        <v>3</v>
      </c>
      <c r="AO121">
        <v>3</v>
      </c>
      <c r="AP121">
        <v>4</v>
      </c>
      <c r="AQ121">
        <v>1</v>
      </c>
      <c r="AR121">
        <v>1</v>
      </c>
      <c r="AS121" s="1">
        <v>2</v>
      </c>
      <c r="AT121" s="1">
        <f t="shared" si="33"/>
        <v>15</v>
      </c>
      <c r="AU121" s="1">
        <f t="shared" si="34"/>
        <v>28.571428571428569</v>
      </c>
    </row>
    <row r="122" spans="1:47">
      <c r="A122" t="s">
        <v>13</v>
      </c>
      <c r="B122">
        <v>3</v>
      </c>
      <c r="C122">
        <v>2</v>
      </c>
      <c r="D122">
        <v>4</v>
      </c>
      <c r="E122">
        <v>4</v>
      </c>
      <c r="F122">
        <v>2</v>
      </c>
      <c r="G122">
        <v>2</v>
      </c>
      <c r="H122">
        <v>3</v>
      </c>
      <c r="I122">
        <v>2</v>
      </c>
      <c r="J122">
        <f t="shared" si="35"/>
        <v>22</v>
      </c>
      <c r="K122">
        <f t="shared" si="26"/>
        <v>43.75</v>
      </c>
      <c r="L122">
        <v>3</v>
      </c>
      <c r="M122">
        <v>4</v>
      </c>
      <c r="N122">
        <v>3</v>
      </c>
      <c r="O122">
        <v>1</v>
      </c>
      <c r="P122">
        <v>2</v>
      </c>
      <c r="R122">
        <v>2</v>
      </c>
      <c r="S122">
        <f t="shared" si="27"/>
        <v>15</v>
      </c>
      <c r="T122">
        <f t="shared" si="28"/>
        <v>28.571428571428569</v>
      </c>
      <c r="U122">
        <v>1</v>
      </c>
      <c r="V122">
        <v>2</v>
      </c>
      <c r="W122">
        <v>1</v>
      </c>
      <c r="X122">
        <v>2</v>
      </c>
      <c r="Y122">
        <v>2</v>
      </c>
      <c r="Z122">
        <v>5</v>
      </c>
      <c r="AA122">
        <v>3</v>
      </c>
      <c r="AB122">
        <f t="shared" si="29"/>
        <v>16</v>
      </c>
      <c r="AC122">
        <f t="shared" si="30"/>
        <v>32.142857142857146</v>
      </c>
      <c r="AD122">
        <v>2</v>
      </c>
      <c r="AE122">
        <v>4</v>
      </c>
      <c r="AF122">
        <v>2</v>
      </c>
      <c r="AG122">
        <v>3</v>
      </c>
      <c r="AH122">
        <v>1</v>
      </c>
      <c r="AI122">
        <v>1</v>
      </c>
      <c r="AJ122">
        <v>1</v>
      </c>
      <c r="AK122">
        <f t="shared" si="31"/>
        <v>14</v>
      </c>
      <c r="AL122">
        <f t="shared" si="32"/>
        <v>25</v>
      </c>
      <c r="AM122">
        <v>3</v>
      </c>
      <c r="AN122">
        <v>4</v>
      </c>
      <c r="AO122">
        <v>2</v>
      </c>
      <c r="AP122">
        <v>3</v>
      </c>
      <c r="AQ122">
        <v>4</v>
      </c>
      <c r="AR122">
        <v>2</v>
      </c>
      <c r="AS122" s="1">
        <v>5</v>
      </c>
      <c r="AT122" s="1">
        <f t="shared" si="33"/>
        <v>23</v>
      </c>
      <c r="AU122" s="1">
        <f t="shared" si="34"/>
        <v>57.142857142857139</v>
      </c>
    </row>
    <row r="123" spans="1:47">
      <c r="A123" t="s">
        <v>14</v>
      </c>
      <c r="B123">
        <v>3</v>
      </c>
      <c r="C123">
        <v>3</v>
      </c>
      <c r="D123">
        <v>3</v>
      </c>
      <c r="E123">
        <v>2</v>
      </c>
      <c r="F123">
        <v>3</v>
      </c>
      <c r="G123">
        <v>2</v>
      </c>
      <c r="H123">
        <v>2</v>
      </c>
      <c r="I123">
        <v>2</v>
      </c>
      <c r="J123">
        <f t="shared" si="35"/>
        <v>20</v>
      </c>
      <c r="K123">
        <f t="shared" si="26"/>
        <v>37.5</v>
      </c>
      <c r="L123">
        <v>2</v>
      </c>
      <c r="M123">
        <v>2</v>
      </c>
      <c r="N123">
        <v>2</v>
      </c>
      <c r="O123">
        <v>2</v>
      </c>
      <c r="P123">
        <v>2</v>
      </c>
      <c r="Q123">
        <v>1</v>
      </c>
      <c r="S123">
        <f t="shared" si="27"/>
        <v>11</v>
      </c>
      <c r="T123">
        <f t="shared" si="28"/>
        <v>14.285714285714285</v>
      </c>
      <c r="U123">
        <v>2</v>
      </c>
      <c r="V123">
        <v>2</v>
      </c>
      <c r="W123">
        <v>2</v>
      </c>
      <c r="X123">
        <v>2</v>
      </c>
      <c r="Y123">
        <v>2</v>
      </c>
      <c r="Z123">
        <v>3</v>
      </c>
      <c r="AA123">
        <v>2</v>
      </c>
      <c r="AB123">
        <f t="shared" si="29"/>
        <v>15</v>
      </c>
      <c r="AC123">
        <f t="shared" si="30"/>
        <v>28.571428571428569</v>
      </c>
      <c r="AD123">
        <v>3</v>
      </c>
      <c r="AE123">
        <v>4</v>
      </c>
      <c r="AF123">
        <v>3</v>
      </c>
      <c r="AG123">
        <v>3</v>
      </c>
      <c r="AH123">
        <v>2</v>
      </c>
      <c r="AI123">
        <v>1</v>
      </c>
      <c r="AJ123">
        <v>1</v>
      </c>
      <c r="AK123">
        <f t="shared" si="31"/>
        <v>17</v>
      </c>
      <c r="AL123">
        <f t="shared" si="32"/>
        <v>35.714285714285715</v>
      </c>
      <c r="AM123">
        <v>2</v>
      </c>
      <c r="AN123">
        <v>2</v>
      </c>
      <c r="AO123">
        <v>2</v>
      </c>
      <c r="AP123">
        <v>2</v>
      </c>
      <c r="AQ123">
        <v>2</v>
      </c>
      <c r="AR123">
        <v>2</v>
      </c>
      <c r="AS123" s="1">
        <v>3</v>
      </c>
      <c r="AT123" s="1">
        <f t="shared" si="33"/>
        <v>15</v>
      </c>
      <c r="AU123" s="1">
        <f t="shared" si="34"/>
        <v>28.571428571428569</v>
      </c>
    </row>
    <row r="124" spans="1:47">
      <c r="A124" t="s">
        <v>15</v>
      </c>
      <c r="B124">
        <v>3</v>
      </c>
      <c r="C124">
        <v>1</v>
      </c>
      <c r="D124">
        <v>2</v>
      </c>
      <c r="E124">
        <v>2</v>
      </c>
      <c r="F124">
        <v>1</v>
      </c>
      <c r="G124">
        <v>1</v>
      </c>
      <c r="H124">
        <v>1</v>
      </c>
      <c r="I124">
        <v>1</v>
      </c>
      <c r="J124">
        <f t="shared" si="35"/>
        <v>12</v>
      </c>
      <c r="K124">
        <f t="shared" si="26"/>
        <v>12.5</v>
      </c>
      <c r="L124">
        <v>3</v>
      </c>
      <c r="M124">
        <v>1</v>
      </c>
      <c r="N124">
        <v>1</v>
      </c>
      <c r="O124">
        <v>2</v>
      </c>
      <c r="P124">
        <v>1</v>
      </c>
      <c r="Q124">
        <v>1</v>
      </c>
      <c r="S124">
        <f t="shared" si="27"/>
        <v>9</v>
      </c>
      <c r="T124">
        <f t="shared" si="28"/>
        <v>7.1428571428571423</v>
      </c>
      <c r="U124">
        <v>1</v>
      </c>
      <c r="V124">
        <v>1</v>
      </c>
      <c r="W124">
        <v>2</v>
      </c>
      <c r="X124">
        <v>2</v>
      </c>
      <c r="Y124">
        <v>3</v>
      </c>
      <c r="Z124">
        <v>3</v>
      </c>
      <c r="AA124">
        <v>1</v>
      </c>
      <c r="AB124">
        <f t="shared" si="29"/>
        <v>13</v>
      </c>
      <c r="AC124">
        <f t="shared" si="30"/>
        <v>21.428571428571427</v>
      </c>
      <c r="AD124">
        <v>2</v>
      </c>
      <c r="AE124">
        <v>2</v>
      </c>
      <c r="AF124">
        <v>2</v>
      </c>
      <c r="AG124">
        <v>1</v>
      </c>
      <c r="AH124">
        <v>1</v>
      </c>
      <c r="AI124">
        <v>1</v>
      </c>
      <c r="AJ124">
        <v>1</v>
      </c>
      <c r="AK124">
        <f t="shared" si="31"/>
        <v>10</v>
      </c>
      <c r="AL124">
        <f t="shared" si="32"/>
        <v>10.714285714285714</v>
      </c>
      <c r="AM124">
        <v>2</v>
      </c>
      <c r="AN124">
        <v>3</v>
      </c>
      <c r="AO124">
        <v>2</v>
      </c>
      <c r="AP124">
        <v>2</v>
      </c>
      <c r="AQ124">
        <v>1</v>
      </c>
      <c r="AR124">
        <v>1</v>
      </c>
      <c r="AS124" s="1">
        <v>2</v>
      </c>
      <c r="AT124" s="1">
        <f t="shared" si="33"/>
        <v>13</v>
      </c>
      <c r="AU124" s="1">
        <f t="shared" si="34"/>
        <v>21.428571428571427</v>
      </c>
    </row>
    <row r="125" spans="1:47">
      <c r="A125" t="s">
        <v>16</v>
      </c>
      <c r="B125">
        <v>2</v>
      </c>
      <c r="C125">
        <v>2</v>
      </c>
      <c r="D125">
        <v>2</v>
      </c>
      <c r="E125">
        <v>2</v>
      </c>
      <c r="F125">
        <v>2</v>
      </c>
      <c r="G125">
        <v>2</v>
      </c>
      <c r="H125">
        <v>2</v>
      </c>
      <c r="I125">
        <v>2</v>
      </c>
      <c r="J125">
        <f t="shared" si="35"/>
        <v>16</v>
      </c>
      <c r="K125">
        <f t="shared" si="26"/>
        <v>25</v>
      </c>
      <c r="L125">
        <v>2</v>
      </c>
      <c r="M125">
        <v>2</v>
      </c>
      <c r="N125">
        <v>2</v>
      </c>
      <c r="O125">
        <v>1</v>
      </c>
      <c r="P125">
        <v>1</v>
      </c>
      <c r="R125">
        <v>1</v>
      </c>
      <c r="S125">
        <f t="shared" si="27"/>
        <v>9</v>
      </c>
      <c r="T125">
        <f t="shared" si="28"/>
        <v>7.1428571428571423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2</v>
      </c>
      <c r="AA125">
        <v>1</v>
      </c>
      <c r="AB125">
        <f t="shared" si="29"/>
        <v>8</v>
      </c>
      <c r="AC125">
        <f t="shared" si="30"/>
        <v>3.5714285714285712</v>
      </c>
      <c r="AD125">
        <v>2</v>
      </c>
      <c r="AE125">
        <v>2</v>
      </c>
      <c r="AF125">
        <v>2</v>
      </c>
      <c r="AG125">
        <v>2</v>
      </c>
      <c r="AH125">
        <v>1</v>
      </c>
      <c r="AI125">
        <v>2</v>
      </c>
      <c r="AJ125">
        <v>1</v>
      </c>
      <c r="AK125">
        <f t="shared" si="31"/>
        <v>12</v>
      </c>
      <c r="AL125">
        <f t="shared" si="32"/>
        <v>17.857142857142858</v>
      </c>
      <c r="AM125">
        <v>2</v>
      </c>
      <c r="AN125">
        <v>2</v>
      </c>
      <c r="AO125">
        <v>1</v>
      </c>
      <c r="AP125">
        <v>1</v>
      </c>
      <c r="AQ125">
        <v>1</v>
      </c>
      <c r="AR125">
        <v>1</v>
      </c>
      <c r="AS125" s="1">
        <v>1</v>
      </c>
      <c r="AT125" s="1">
        <f t="shared" si="33"/>
        <v>9</v>
      </c>
      <c r="AU125" s="1">
        <f t="shared" si="34"/>
        <v>7.1428571428571423</v>
      </c>
    </row>
    <row r="126" spans="1:47">
      <c r="A126" t="s">
        <v>17</v>
      </c>
      <c r="B126">
        <v>4</v>
      </c>
      <c r="C126">
        <v>4</v>
      </c>
      <c r="D126">
        <v>4</v>
      </c>
      <c r="E126">
        <v>3</v>
      </c>
      <c r="F126">
        <v>4</v>
      </c>
      <c r="G126">
        <v>4</v>
      </c>
      <c r="H126">
        <v>3</v>
      </c>
      <c r="I126">
        <v>5</v>
      </c>
      <c r="J126">
        <f t="shared" si="35"/>
        <v>31</v>
      </c>
      <c r="K126">
        <f t="shared" si="26"/>
        <v>71.875</v>
      </c>
      <c r="L126">
        <v>2</v>
      </c>
      <c r="M126">
        <v>3</v>
      </c>
      <c r="N126">
        <v>3</v>
      </c>
      <c r="O126">
        <v>5</v>
      </c>
      <c r="P126">
        <v>2</v>
      </c>
      <c r="R126">
        <v>4</v>
      </c>
      <c r="S126">
        <f t="shared" si="27"/>
        <v>19</v>
      </c>
      <c r="T126">
        <f t="shared" si="28"/>
        <v>42.857142857142854</v>
      </c>
      <c r="U126">
        <v>2</v>
      </c>
      <c r="V126">
        <v>1</v>
      </c>
      <c r="W126">
        <v>1</v>
      </c>
      <c r="X126">
        <v>1</v>
      </c>
      <c r="Y126">
        <v>5</v>
      </c>
      <c r="Z126">
        <v>4</v>
      </c>
      <c r="AA126">
        <v>3</v>
      </c>
      <c r="AB126">
        <f t="shared" si="29"/>
        <v>17</v>
      </c>
      <c r="AC126">
        <f t="shared" si="30"/>
        <v>35.714285714285715</v>
      </c>
      <c r="AD126">
        <v>3</v>
      </c>
      <c r="AE126">
        <v>3</v>
      </c>
      <c r="AF126">
        <v>3</v>
      </c>
      <c r="AG126">
        <v>3</v>
      </c>
      <c r="AH126">
        <v>1</v>
      </c>
      <c r="AI126">
        <v>4</v>
      </c>
      <c r="AJ126">
        <v>4</v>
      </c>
      <c r="AK126">
        <f t="shared" si="31"/>
        <v>21</v>
      </c>
      <c r="AL126">
        <f t="shared" si="32"/>
        <v>50</v>
      </c>
      <c r="AM126">
        <v>4</v>
      </c>
      <c r="AN126">
        <v>5</v>
      </c>
      <c r="AO126">
        <v>4</v>
      </c>
      <c r="AP126">
        <v>5</v>
      </c>
      <c r="AQ126">
        <v>1</v>
      </c>
      <c r="AR126">
        <v>1</v>
      </c>
      <c r="AS126" s="1">
        <v>2</v>
      </c>
      <c r="AT126" s="1">
        <f t="shared" si="33"/>
        <v>22</v>
      </c>
      <c r="AU126" s="1">
        <f t="shared" si="34"/>
        <v>53.571428571428569</v>
      </c>
    </row>
    <row r="127" spans="1:47">
      <c r="A127" t="s">
        <v>18</v>
      </c>
      <c r="B127">
        <v>1</v>
      </c>
      <c r="C127">
        <v>1</v>
      </c>
      <c r="D127">
        <v>2</v>
      </c>
      <c r="E127">
        <v>1</v>
      </c>
      <c r="F127">
        <v>1</v>
      </c>
      <c r="G127">
        <v>1</v>
      </c>
      <c r="H127">
        <v>1</v>
      </c>
      <c r="I127">
        <v>1</v>
      </c>
      <c r="J127">
        <f t="shared" si="35"/>
        <v>9</v>
      </c>
      <c r="K127">
        <f t="shared" si="26"/>
        <v>3.125</v>
      </c>
      <c r="L127">
        <v>2</v>
      </c>
      <c r="M127">
        <v>1</v>
      </c>
      <c r="N127">
        <v>1</v>
      </c>
      <c r="O127">
        <v>1</v>
      </c>
      <c r="P127">
        <v>1</v>
      </c>
      <c r="R127">
        <v>1</v>
      </c>
      <c r="S127">
        <f t="shared" si="27"/>
        <v>7</v>
      </c>
      <c r="T127">
        <f t="shared" si="28"/>
        <v>0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2</v>
      </c>
      <c r="AA127">
        <v>1</v>
      </c>
      <c r="AB127">
        <f t="shared" si="29"/>
        <v>8</v>
      </c>
      <c r="AC127">
        <f t="shared" si="30"/>
        <v>3.5714285714285712</v>
      </c>
      <c r="AD127">
        <v>1</v>
      </c>
      <c r="AE127">
        <v>1</v>
      </c>
      <c r="AF127">
        <v>1</v>
      </c>
      <c r="AG127">
        <v>1</v>
      </c>
      <c r="AH127">
        <v>1</v>
      </c>
      <c r="AI127">
        <v>2</v>
      </c>
      <c r="AJ127">
        <v>1</v>
      </c>
      <c r="AK127">
        <f t="shared" si="31"/>
        <v>8</v>
      </c>
      <c r="AL127">
        <f t="shared" si="32"/>
        <v>3.5714285714285712</v>
      </c>
      <c r="AM127">
        <v>3</v>
      </c>
      <c r="AN127">
        <v>3</v>
      </c>
      <c r="AO127">
        <v>1</v>
      </c>
      <c r="AP127">
        <v>3</v>
      </c>
      <c r="AQ127">
        <v>3</v>
      </c>
      <c r="AR127">
        <v>1</v>
      </c>
      <c r="AS127" s="1">
        <v>2</v>
      </c>
      <c r="AT127" s="1">
        <f t="shared" si="33"/>
        <v>16</v>
      </c>
      <c r="AU127" s="1">
        <f t="shared" si="34"/>
        <v>32.142857142857146</v>
      </c>
    </row>
    <row r="128" spans="1:47">
      <c r="A128" t="s">
        <v>19</v>
      </c>
      <c r="B128">
        <v>4</v>
      </c>
      <c r="C128">
        <v>4</v>
      </c>
      <c r="D128">
        <v>5</v>
      </c>
      <c r="E128">
        <v>5</v>
      </c>
      <c r="F128">
        <v>2</v>
      </c>
      <c r="G128">
        <v>1</v>
      </c>
      <c r="H128">
        <v>5</v>
      </c>
      <c r="I128">
        <v>5</v>
      </c>
      <c r="J128">
        <f t="shared" si="35"/>
        <v>31</v>
      </c>
      <c r="K128">
        <f t="shared" si="26"/>
        <v>71.875</v>
      </c>
      <c r="L128">
        <v>5</v>
      </c>
      <c r="M128">
        <v>5</v>
      </c>
      <c r="N128">
        <v>4</v>
      </c>
      <c r="O128">
        <v>5</v>
      </c>
      <c r="P128">
        <v>2</v>
      </c>
      <c r="Q128">
        <v>4</v>
      </c>
      <c r="S128">
        <f t="shared" si="27"/>
        <v>25</v>
      </c>
      <c r="T128">
        <f t="shared" si="28"/>
        <v>64.285714285714292</v>
      </c>
      <c r="U128">
        <v>2</v>
      </c>
      <c r="V128">
        <v>2</v>
      </c>
      <c r="W128">
        <v>4</v>
      </c>
      <c r="X128">
        <v>3</v>
      </c>
      <c r="Y128">
        <v>2</v>
      </c>
      <c r="Z128">
        <v>2</v>
      </c>
      <c r="AA128">
        <v>1</v>
      </c>
      <c r="AB128">
        <f t="shared" si="29"/>
        <v>16</v>
      </c>
      <c r="AC128">
        <f t="shared" si="30"/>
        <v>32.142857142857146</v>
      </c>
      <c r="AD128">
        <v>3</v>
      </c>
      <c r="AE128">
        <v>3</v>
      </c>
      <c r="AF128">
        <v>3</v>
      </c>
      <c r="AG128">
        <v>3</v>
      </c>
      <c r="AH128">
        <v>2</v>
      </c>
      <c r="AI128">
        <v>2</v>
      </c>
      <c r="AJ128">
        <v>4</v>
      </c>
      <c r="AK128">
        <f t="shared" si="31"/>
        <v>20</v>
      </c>
      <c r="AL128">
        <f t="shared" si="32"/>
        <v>46.428571428571431</v>
      </c>
      <c r="AM128">
        <v>3</v>
      </c>
      <c r="AN128">
        <v>3</v>
      </c>
      <c r="AO128">
        <v>1</v>
      </c>
      <c r="AP128">
        <v>1</v>
      </c>
      <c r="AQ128">
        <v>3</v>
      </c>
      <c r="AR128">
        <v>2</v>
      </c>
      <c r="AS128" s="1">
        <v>2</v>
      </c>
      <c r="AT128" s="1">
        <f t="shared" si="33"/>
        <v>15</v>
      </c>
      <c r="AU128" s="1">
        <f t="shared" si="34"/>
        <v>28.571428571428569</v>
      </c>
    </row>
    <row r="129" spans="1:47">
      <c r="A129" t="s">
        <v>20</v>
      </c>
      <c r="B129">
        <v>1</v>
      </c>
      <c r="C129">
        <v>1</v>
      </c>
      <c r="D129">
        <v>2</v>
      </c>
      <c r="E129">
        <v>4</v>
      </c>
      <c r="F129">
        <v>1</v>
      </c>
      <c r="G129">
        <v>2</v>
      </c>
      <c r="H129">
        <v>1</v>
      </c>
      <c r="I129">
        <v>3</v>
      </c>
      <c r="J129">
        <f t="shared" si="35"/>
        <v>15</v>
      </c>
      <c r="K129">
        <f t="shared" si="26"/>
        <v>21.875</v>
      </c>
      <c r="L129">
        <v>5</v>
      </c>
      <c r="M129">
        <v>2</v>
      </c>
      <c r="N129">
        <v>4</v>
      </c>
      <c r="O129">
        <v>3</v>
      </c>
      <c r="P129">
        <v>1</v>
      </c>
      <c r="R129">
        <v>1</v>
      </c>
      <c r="S129">
        <f t="shared" si="27"/>
        <v>16</v>
      </c>
      <c r="T129">
        <f t="shared" si="28"/>
        <v>32.142857142857146</v>
      </c>
      <c r="U129">
        <v>1</v>
      </c>
      <c r="V129">
        <v>1</v>
      </c>
      <c r="W129">
        <v>2</v>
      </c>
      <c r="X129">
        <v>1</v>
      </c>
      <c r="Y129">
        <v>1</v>
      </c>
      <c r="Z129">
        <v>4</v>
      </c>
      <c r="AA129">
        <v>3</v>
      </c>
      <c r="AB129">
        <f t="shared" si="29"/>
        <v>13</v>
      </c>
      <c r="AC129">
        <f t="shared" si="30"/>
        <v>21.428571428571427</v>
      </c>
      <c r="AD129">
        <v>3</v>
      </c>
      <c r="AE129">
        <v>4</v>
      </c>
      <c r="AF129">
        <v>4</v>
      </c>
      <c r="AG129">
        <v>2</v>
      </c>
      <c r="AH129">
        <v>1</v>
      </c>
      <c r="AI129">
        <v>2</v>
      </c>
      <c r="AJ129">
        <v>1</v>
      </c>
      <c r="AK129">
        <f t="shared" si="31"/>
        <v>17</v>
      </c>
      <c r="AL129">
        <f t="shared" si="32"/>
        <v>35.714285714285715</v>
      </c>
      <c r="AM129">
        <v>2</v>
      </c>
      <c r="AN129">
        <v>1</v>
      </c>
      <c r="AO129">
        <v>1</v>
      </c>
      <c r="AP129">
        <v>1</v>
      </c>
      <c r="AQ129">
        <v>1</v>
      </c>
      <c r="AR129">
        <v>1</v>
      </c>
      <c r="AS129" s="1">
        <v>3</v>
      </c>
      <c r="AT129" s="1">
        <f t="shared" si="33"/>
        <v>10</v>
      </c>
      <c r="AU129" s="1">
        <f t="shared" si="34"/>
        <v>10.714285714285714</v>
      </c>
    </row>
    <row r="130" spans="1:47">
      <c r="A130" t="s">
        <v>21</v>
      </c>
      <c r="B130">
        <v>2</v>
      </c>
      <c r="C130">
        <v>2</v>
      </c>
      <c r="D130">
        <v>4</v>
      </c>
      <c r="E130">
        <v>2</v>
      </c>
      <c r="F130">
        <v>2</v>
      </c>
      <c r="G130">
        <v>2</v>
      </c>
      <c r="H130">
        <v>3</v>
      </c>
      <c r="I130">
        <v>2</v>
      </c>
      <c r="J130">
        <f t="shared" si="35"/>
        <v>19</v>
      </c>
      <c r="K130">
        <f t="shared" si="26"/>
        <v>34.375</v>
      </c>
      <c r="L130">
        <v>3</v>
      </c>
      <c r="M130">
        <v>2</v>
      </c>
      <c r="N130">
        <v>2</v>
      </c>
      <c r="O130">
        <v>2</v>
      </c>
      <c r="P130">
        <v>2</v>
      </c>
      <c r="Q130">
        <v>2</v>
      </c>
      <c r="S130">
        <f t="shared" si="27"/>
        <v>13</v>
      </c>
      <c r="T130">
        <f t="shared" si="28"/>
        <v>21.428571428571427</v>
      </c>
      <c r="U130">
        <v>1</v>
      </c>
      <c r="V130">
        <v>1</v>
      </c>
      <c r="W130">
        <v>1</v>
      </c>
      <c r="X130">
        <v>2</v>
      </c>
      <c r="Y130">
        <v>2</v>
      </c>
      <c r="Z130">
        <v>2</v>
      </c>
      <c r="AA130">
        <v>2</v>
      </c>
      <c r="AB130">
        <f t="shared" si="29"/>
        <v>11</v>
      </c>
      <c r="AC130">
        <f t="shared" si="30"/>
        <v>14.285714285714285</v>
      </c>
      <c r="AD130">
        <v>2</v>
      </c>
      <c r="AE130">
        <v>2</v>
      </c>
      <c r="AF130">
        <v>2</v>
      </c>
      <c r="AG130">
        <v>2</v>
      </c>
      <c r="AH130">
        <v>1</v>
      </c>
      <c r="AI130">
        <v>2</v>
      </c>
      <c r="AJ130">
        <v>1</v>
      </c>
      <c r="AK130">
        <f t="shared" si="31"/>
        <v>12</v>
      </c>
      <c r="AL130">
        <f t="shared" si="32"/>
        <v>17.857142857142858</v>
      </c>
      <c r="AM130">
        <v>2</v>
      </c>
      <c r="AN130">
        <v>3</v>
      </c>
      <c r="AO130">
        <v>3</v>
      </c>
      <c r="AP130">
        <v>3</v>
      </c>
      <c r="AQ130">
        <v>3</v>
      </c>
      <c r="AR130">
        <v>4</v>
      </c>
      <c r="AS130" s="1">
        <v>4</v>
      </c>
      <c r="AT130" s="1">
        <f t="shared" si="33"/>
        <v>22</v>
      </c>
      <c r="AU130" s="1">
        <f t="shared" si="34"/>
        <v>53.571428571428569</v>
      </c>
    </row>
    <row r="131" spans="1:47">
      <c r="A131" t="s">
        <v>22</v>
      </c>
      <c r="B131">
        <v>1</v>
      </c>
      <c r="C131">
        <v>2</v>
      </c>
      <c r="D131">
        <v>2</v>
      </c>
      <c r="E131">
        <v>2</v>
      </c>
      <c r="F131">
        <v>3</v>
      </c>
      <c r="G131">
        <v>1</v>
      </c>
      <c r="H131">
        <v>2</v>
      </c>
      <c r="I131">
        <v>2</v>
      </c>
      <c r="J131">
        <f t="shared" si="35"/>
        <v>15</v>
      </c>
      <c r="K131">
        <f t="shared" si="26"/>
        <v>21.875</v>
      </c>
      <c r="L131">
        <v>2</v>
      </c>
      <c r="M131">
        <v>4</v>
      </c>
      <c r="N131">
        <v>2</v>
      </c>
      <c r="O131">
        <v>2</v>
      </c>
      <c r="P131">
        <v>1</v>
      </c>
      <c r="Q131">
        <v>1</v>
      </c>
      <c r="S131">
        <f t="shared" si="27"/>
        <v>12</v>
      </c>
      <c r="T131">
        <f t="shared" si="28"/>
        <v>17.857142857142858</v>
      </c>
      <c r="U131">
        <v>2</v>
      </c>
      <c r="V131">
        <v>2</v>
      </c>
      <c r="W131">
        <v>3</v>
      </c>
      <c r="X131">
        <v>1</v>
      </c>
      <c r="Y131">
        <v>1</v>
      </c>
      <c r="Z131">
        <v>2</v>
      </c>
      <c r="AA131">
        <v>1</v>
      </c>
      <c r="AB131">
        <f t="shared" si="29"/>
        <v>12</v>
      </c>
      <c r="AC131">
        <f t="shared" si="30"/>
        <v>17.857142857142858</v>
      </c>
      <c r="AD131">
        <v>2</v>
      </c>
      <c r="AE131">
        <v>2</v>
      </c>
      <c r="AF131">
        <v>2</v>
      </c>
      <c r="AG131">
        <v>2</v>
      </c>
      <c r="AH131">
        <v>2</v>
      </c>
      <c r="AI131">
        <v>2</v>
      </c>
      <c r="AJ131">
        <v>2</v>
      </c>
      <c r="AK131">
        <f t="shared" si="31"/>
        <v>14</v>
      </c>
      <c r="AL131">
        <f t="shared" si="32"/>
        <v>25</v>
      </c>
      <c r="AM131">
        <v>3</v>
      </c>
      <c r="AN131">
        <v>2</v>
      </c>
      <c r="AO131">
        <v>1</v>
      </c>
      <c r="AP131">
        <v>2</v>
      </c>
      <c r="AQ131">
        <v>3</v>
      </c>
      <c r="AR131">
        <v>2</v>
      </c>
      <c r="AS131" s="1">
        <v>2</v>
      </c>
      <c r="AT131" s="1">
        <f t="shared" si="33"/>
        <v>15</v>
      </c>
      <c r="AU131" s="1">
        <f t="shared" si="34"/>
        <v>28.571428571428569</v>
      </c>
    </row>
    <row r="132" spans="1:47">
      <c r="A132" t="s">
        <v>23</v>
      </c>
      <c r="B132">
        <v>1</v>
      </c>
      <c r="C132">
        <v>2</v>
      </c>
      <c r="D132">
        <v>3</v>
      </c>
      <c r="E132">
        <v>3</v>
      </c>
      <c r="F132">
        <v>1</v>
      </c>
      <c r="G132">
        <v>1</v>
      </c>
      <c r="H132">
        <v>1</v>
      </c>
      <c r="I132">
        <v>1</v>
      </c>
      <c r="J132">
        <f t="shared" si="35"/>
        <v>13</v>
      </c>
      <c r="K132">
        <f t="shared" si="26"/>
        <v>15.625</v>
      </c>
      <c r="L132">
        <v>3</v>
      </c>
      <c r="M132">
        <v>4</v>
      </c>
      <c r="N132">
        <v>1</v>
      </c>
      <c r="O132">
        <v>1</v>
      </c>
      <c r="P132">
        <v>1</v>
      </c>
      <c r="Q132">
        <v>1</v>
      </c>
      <c r="S132">
        <f t="shared" si="27"/>
        <v>11</v>
      </c>
      <c r="T132">
        <f t="shared" si="28"/>
        <v>14.285714285714285</v>
      </c>
      <c r="U132">
        <v>2</v>
      </c>
      <c r="V132">
        <v>1</v>
      </c>
      <c r="W132">
        <v>1</v>
      </c>
      <c r="X132">
        <v>1</v>
      </c>
      <c r="Y132">
        <v>1</v>
      </c>
      <c r="Z132">
        <v>2</v>
      </c>
      <c r="AA132">
        <v>1</v>
      </c>
      <c r="AB132">
        <f t="shared" si="29"/>
        <v>9</v>
      </c>
      <c r="AC132">
        <f t="shared" si="30"/>
        <v>7.1428571428571423</v>
      </c>
      <c r="AD132">
        <v>3</v>
      </c>
      <c r="AE132">
        <v>3</v>
      </c>
      <c r="AF132">
        <v>3</v>
      </c>
      <c r="AG132">
        <v>2</v>
      </c>
      <c r="AH132">
        <v>1</v>
      </c>
      <c r="AI132">
        <v>1</v>
      </c>
      <c r="AJ132">
        <v>1</v>
      </c>
      <c r="AK132">
        <f t="shared" si="31"/>
        <v>14</v>
      </c>
      <c r="AL132">
        <f t="shared" si="32"/>
        <v>25</v>
      </c>
      <c r="AM132">
        <v>1</v>
      </c>
      <c r="AN132">
        <v>2</v>
      </c>
      <c r="AO132">
        <v>1</v>
      </c>
      <c r="AP132">
        <v>2</v>
      </c>
      <c r="AQ132">
        <v>1</v>
      </c>
      <c r="AR132">
        <v>1</v>
      </c>
      <c r="AS132" s="1">
        <v>2</v>
      </c>
      <c r="AT132" s="1">
        <f t="shared" si="33"/>
        <v>10</v>
      </c>
      <c r="AU132" s="1">
        <f t="shared" si="34"/>
        <v>10.714285714285714</v>
      </c>
    </row>
    <row r="133" spans="1:47">
      <c r="A133" t="s">
        <v>24</v>
      </c>
      <c r="B133">
        <v>2</v>
      </c>
      <c r="C133">
        <v>1</v>
      </c>
      <c r="D133">
        <v>3</v>
      </c>
      <c r="E133">
        <v>4</v>
      </c>
      <c r="F133">
        <v>3</v>
      </c>
      <c r="G133">
        <v>3</v>
      </c>
      <c r="H133">
        <v>3</v>
      </c>
      <c r="I133">
        <v>2</v>
      </c>
      <c r="J133">
        <f t="shared" si="35"/>
        <v>21</v>
      </c>
      <c r="K133">
        <f t="shared" si="26"/>
        <v>40.625</v>
      </c>
      <c r="L133">
        <v>4</v>
      </c>
      <c r="M133">
        <v>2</v>
      </c>
      <c r="N133">
        <v>3</v>
      </c>
      <c r="O133">
        <v>2</v>
      </c>
      <c r="P133">
        <v>3</v>
      </c>
      <c r="R133">
        <v>3</v>
      </c>
      <c r="S133">
        <f t="shared" si="27"/>
        <v>17</v>
      </c>
      <c r="T133">
        <f t="shared" si="28"/>
        <v>35.714285714285715</v>
      </c>
      <c r="U133">
        <v>2</v>
      </c>
      <c r="V133">
        <v>2</v>
      </c>
      <c r="W133">
        <v>1</v>
      </c>
      <c r="X133">
        <v>2</v>
      </c>
      <c r="Y133">
        <v>3</v>
      </c>
      <c r="Z133">
        <v>3</v>
      </c>
      <c r="AA133">
        <v>2</v>
      </c>
      <c r="AB133">
        <f t="shared" si="29"/>
        <v>15</v>
      </c>
      <c r="AC133">
        <f t="shared" si="30"/>
        <v>28.571428571428569</v>
      </c>
      <c r="AD133">
        <v>3</v>
      </c>
      <c r="AE133">
        <v>2</v>
      </c>
      <c r="AF133">
        <v>4</v>
      </c>
      <c r="AG133">
        <v>3</v>
      </c>
      <c r="AH133">
        <v>2</v>
      </c>
      <c r="AI133">
        <v>4</v>
      </c>
      <c r="AJ133">
        <v>2</v>
      </c>
      <c r="AK133">
        <f t="shared" si="31"/>
        <v>20</v>
      </c>
      <c r="AL133">
        <f t="shared" si="32"/>
        <v>46.428571428571431</v>
      </c>
      <c r="AM133">
        <v>2</v>
      </c>
      <c r="AN133">
        <v>3</v>
      </c>
      <c r="AO133">
        <v>3</v>
      </c>
      <c r="AP133">
        <v>2</v>
      </c>
      <c r="AQ133">
        <v>2</v>
      </c>
      <c r="AR133">
        <v>2</v>
      </c>
      <c r="AS133" s="1">
        <v>3</v>
      </c>
      <c r="AT133" s="1">
        <f t="shared" si="33"/>
        <v>17</v>
      </c>
      <c r="AU133" s="1">
        <f t="shared" si="34"/>
        <v>35.714285714285715</v>
      </c>
    </row>
    <row r="134" spans="1:47">
      <c r="A134" t="s">
        <v>25</v>
      </c>
      <c r="B134">
        <v>2</v>
      </c>
      <c r="C134">
        <v>2</v>
      </c>
      <c r="D134">
        <v>2</v>
      </c>
      <c r="E134">
        <v>1</v>
      </c>
      <c r="F134">
        <v>1</v>
      </c>
      <c r="G134">
        <v>3</v>
      </c>
      <c r="H134">
        <v>4</v>
      </c>
      <c r="I134">
        <v>2</v>
      </c>
      <c r="J134">
        <f t="shared" si="35"/>
        <v>17</v>
      </c>
      <c r="K134">
        <f t="shared" si="26"/>
        <v>28.125</v>
      </c>
      <c r="L134">
        <v>2</v>
      </c>
      <c r="M134">
        <v>3</v>
      </c>
      <c r="N134">
        <v>1</v>
      </c>
      <c r="O134">
        <v>2</v>
      </c>
      <c r="P134">
        <v>1</v>
      </c>
      <c r="R134">
        <v>1</v>
      </c>
      <c r="S134">
        <f t="shared" si="27"/>
        <v>10</v>
      </c>
      <c r="T134">
        <f t="shared" si="28"/>
        <v>10.714285714285714</v>
      </c>
      <c r="U134">
        <v>1</v>
      </c>
      <c r="V134">
        <v>1</v>
      </c>
      <c r="W134">
        <v>1</v>
      </c>
      <c r="X134">
        <v>1</v>
      </c>
      <c r="Y134">
        <v>3</v>
      </c>
      <c r="Z134">
        <v>3</v>
      </c>
      <c r="AA134">
        <v>2</v>
      </c>
      <c r="AB134">
        <f t="shared" si="29"/>
        <v>12</v>
      </c>
      <c r="AC134">
        <f t="shared" si="30"/>
        <v>17.857142857142858</v>
      </c>
      <c r="AD134">
        <v>2</v>
      </c>
      <c r="AE134">
        <v>3</v>
      </c>
      <c r="AF134">
        <v>3</v>
      </c>
      <c r="AG134">
        <v>4</v>
      </c>
      <c r="AH134">
        <v>2</v>
      </c>
      <c r="AI134">
        <v>3</v>
      </c>
      <c r="AJ134">
        <v>3</v>
      </c>
      <c r="AK134">
        <f t="shared" si="31"/>
        <v>20</v>
      </c>
      <c r="AL134">
        <f t="shared" si="32"/>
        <v>46.428571428571431</v>
      </c>
      <c r="AM134">
        <v>4</v>
      </c>
      <c r="AN134">
        <v>4</v>
      </c>
      <c r="AO134">
        <v>4</v>
      </c>
      <c r="AP134">
        <v>3</v>
      </c>
      <c r="AQ134">
        <v>2</v>
      </c>
      <c r="AR134">
        <v>1</v>
      </c>
      <c r="AS134" s="1">
        <v>2</v>
      </c>
      <c r="AT134" s="1">
        <f t="shared" si="33"/>
        <v>20</v>
      </c>
      <c r="AU134" s="1">
        <f t="shared" si="34"/>
        <v>46.428571428571431</v>
      </c>
    </row>
    <row r="135" spans="1:47">
      <c r="A135" t="s">
        <v>26</v>
      </c>
      <c r="B135">
        <v>3</v>
      </c>
      <c r="C135">
        <v>3</v>
      </c>
      <c r="D135">
        <v>3</v>
      </c>
      <c r="E135">
        <v>3</v>
      </c>
      <c r="F135">
        <v>3</v>
      </c>
      <c r="G135">
        <v>3</v>
      </c>
      <c r="H135">
        <v>3</v>
      </c>
      <c r="I135">
        <v>3</v>
      </c>
      <c r="J135">
        <f t="shared" si="35"/>
        <v>24</v>
      </c>
      <c r="K135">
        <f t="shared" si="26"/>
        <v>50</v>
      </c>
      <c r="L135">
        <v>3</v>
      </c>
      <c r="M135">
        <v>3</v>
      </c>
      <c r="N135">
        <v>3</v>
      </c>
      <c r="O135">
        <v>3</v>
      </c>
      <c r="P135">
        <v>3</v>
      </c>
      <c r="R135">
        <v>3</v>
      </c>
      <c r="S135">
        <f t="shared" si="27"/>
        <v>18</v>
      </c>
      <c r="T135">
        <f t="shared" si="28"/>
        <v>39.285714285714285</v>
      </c>
      <c r="U135">
        <v>1</v>
      </c>
      <c r="V135">
        <v>2</v>
      </c>
      <c r="W135">
        <v>3</v>
      </c>
      <c r="X135">
        <v>2</v>
      </c>
      <c r="Y135">
        <v>4</v>
      </c>
      <c r="Z135">
        <v>5</v>
      </c>
      <c r="AA135">
        <v>3</v>
      </c>
      <c r="AB135">
        <f t="shared" si="29"/>
        <v>20</v>
      </c>
      <c r="AC135">
        <f t="shared" si="30"/>
        <v>46.428571428571431</v>
      </c>
      <c r="AD135">
        <v>4</v>
      </c>
      <c r="AE135">
        <v>2</v>
      </c>
      <c r="AF135">
        <v>3</v>
      </c>
      <c r="AG135">
        <v>2</v>
      </c>
      <c r="AH135">
        <v>3</v>
      </c>
      <c r="AI135">
        <v>3</v>
      </c>
      <c r="AJ135">
        <v>4</v>
      </c>
      <c r="AK135">
        <f t="shared" si="31"/>
        <v>21</v>
      </c>
      <c r="AL135">
        <f t="shared" si="32"/>
        <v>50</v>
      </c>
      <c r="AM135">
        <v>4</v>
      </c>
      <c r="AN135">
        <v>2</v>
      </c>
      <c r="AO135">
        <v>3</v>
      </c>
      <c r="AP135">
        <v>2</v>
      </c>
      <c r="AQ135">
        <v>1</v>
      </c>
      <c r="AR135">
        <v>2</v>
      </c>
      <c r="AS135" s="1">
        <v>3</v>
      </c>
      <c r="AT135" s="1">
        <f t="shared" si="33"/>
        <v>17</v>
      </c>
      <c r="AU135" s="1">
        <f t="shared" si="34"/>
        <v>35.714285714285715</v>
      </c>
    </row>
    <row r="136" spans="1:47">
      <c r="A136" t="s">
        <v>27</v>
      </c>
      <c r="B136">
        <v>1</v>
      </c>
      <c r="C136">
        <v>1</v>
      </c>
      <c r="D136">
        <v>4</v>
      </c>
      <c r="E136">
        <v>1</v>
      </c>
      <c r="F136">
        <v>2</v>
      </c>
      <c r="G136">
        <v>2</v>
      </c>
      <c r="H136">
        <v>1</v>
      </c>
      <c r="I136">
        <v>2</v>
      </c>
      <c r="J136">
        <f t="shared" si="35"/>
        <v>14</v>
      </c>
      <c r="K136">
        <f t="shared" si="26"/>
        <v>18.75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S136">
        <f t="shared" si="27"/>
        <v>6</v>
      </c>
      <c r="T136">
        <f t="shared" si="28"/>
        <v>-3.5714285714285712</v>
      </c>
      <c r="U136">
        <v>4</v>
      </c>
      <c r="V136">
        <v>1</v>
      </c>
      <c r="W136">
        <v>1</v>
      </c>
      <c r="X136">
        <v>3</v>
      </c>
      <c r="Y136">
        <v>4</v>
      </c>
      <c r="Z136">
        <v>3</v>
      </c>
      <c r="AA136">
        <v>2</v>
      </c>
      <c r="AB136">
        <f t="shared" si="29"/>
        <v>18</v>
      </c>
      <c r="AC136">
        <f t="shared" si="30"/>
        <v>39.285714285714285</v>
      </c>
      <c r="AD136">
        <v>2</v>
      </c>
      <c r="AE136">
        <v>4</v>
      </c>
      <c r="AF136">
        <v>5</v>
      </c>
      <c r="AG136">
        <v>5</v>
      </c>
      <c r="AH136">
        <v>2</v>
      </c>
      <c r="AI136">
        <v>4</v>
      </c>
      <c r="AJ136">
        <v>1</v>
      </c>
      <c r="AK136">
        <f t="shared" si="31"/>
        <v>23</v>
      </c>
      <c r="AL136">
        <f t="shared" si="32"/>
        <v>57.142857142857139</v>
      </c>
      <c r="AM136">
        <v>4</v>
      </c>
      <c r="AN136">
        <v>4</v>
      </c>
      <c r="AO136">
        <v>4</v>
      </c>
      <c r="AP136">
        <v>4</v>
      </c>
      <c r="AQ136">
        <v>1</v>
      </c>
      <c r="AR136">
        <v>2</v>
      </c>
      <c r="AS136" s="1">
        <v>5</v>
      </c>
      <c r="AT136" s="1">
        <f t="shared" si="33"/>
        <v>24</v>
      </c>
      <c r="AU136" s="1">
        <f t="shared" si="34"/>
        <v>60.714285714285708</v>
      </c>
    </row>
    <row r="137" spans="1:47">
      <c r="A137" t="s">
        <v>28</v>
      </c>
      <c r="B137">
        <v>2</v>
      </c>
      <c r="C137">
        <v>4</v>
      </c>
      <c r="D137">
        <v>2</v>
      </c>
      <c r="E137">
        <v>2</v>
      </c>
      <c r="F137">
        <v>2</v>
      </c>
      <c r="G137">
        <v>2</v>
      </c>
      <c r="H137">
        <v>1</v>
      </c>
      <c r="I137">
        <v>2</v>
      </c>
      <c r="J137">
        <f t="shared" si="35"/>
        <v>17</v>
      </c>
      <c r="K137">
        <f t="shared" si="26"/>
        <v>28.125</v>
      </c>
      <c r="L137">
        <v>3</v>
      </c>
      <c r="M137">
        <v>2</v>
      </c>
      <c r="N137">
        <v>4</v>
      </c>
      <c r="O137">
        <v>2</v>
      </c>
      <c r="P137">
        <v>2</v>
      </c>
      <c r="R137">
        <v>2</v>
      </c>
      <c r="S137">
        <f t="shared" si="27"/>
        <v>15</v>
      </c>
      <c r="T137">
        <f t="shared" si="28"/>
        <v>28.571428571428569</v>
      </c>
      <c r="U137">
        <v>1</v>
      </c>
      <c r="V137">
        <v>1</v>
      </c>
      <c r="W137">
        <v>3</v>
      </c>
      <c r="X137">
        <v>1</v>
      </c>
      <c r="Y137">
        <v>5</v>
      </c>
      <c r="Z137">
        <v>2</v>
      </c>
      <c r="AA137">
        <v>2</v>
      </c>
      <c r="AB137">
        <f t="shared" si="29"/>
        <v>15</v>
      </c>
      <c r="AC137">
        <f t="shared" si="30"/>
        <v>28.571428571428569</v>
      </c>
      <c r="AD137">
        <v>2</v>
      </c>
      <c r="AE137">
        <v>2</v>
      </c>
      <c r="AF137">
        <v>2</v>
      </c>
      <c r="AG137">
        <v>2</v>
      </c>
      <c r="AH137">
        <v>1</v>
      </c>
      <c r="AI137">
        <v>1</v>
      </c>
      <c r="AJ137">
        <v>1</v>
      </c>
      <c r="AK137">
        <f t="shared" si="31"/>
        <v>11</v>
      </c>
      <c r="AL137">
        <f t="shared" si="32"/>
        <v>14.285714285714285</v>
      </c>
      <c r="AM137">
        <v>2</v>
      </c>
      <c r="AN137">
        <v>3</v>
      </c>
      <c r="AO137">
        <v>2</v>
      </c>
      <c r="AP137">
        <v>2</v>
      </c>
      <c r="AQ137">
        <v>5</v>
      </c>
      <c r="AR137">
        <v>2</v>
      </c>
      <c r="AS137" s="1">
        <v>5</v>
      </c>
      <c r="AT137" s="1">
        <f t="shared" si="33"/>
        <v>21</v>
      </c>
      <c r="AU137" s="1">
        <f t="shared" si="34"/>
        <v>50</v>
      </c>
    </row>
    <row r="138" spans="1:47">
      <c r="A138" t="s">
        <v>29</v>
      </c>
      <c r="B138">
        <v>1</v>
      </c>
      <c r="C138">
        <v>3</v>
      </c>
      <c r="D138">
        <v>1</v>
      </c>
      <c r="E138">
        <v>2</v>
      </c>
      <c r="F138">
        <v>1</v>
      </c>
      <c r="G138">
        <v>1</v>
      </c>
      <c r="H138">
        <v>1</v>
      </c>
      <c r="I138">
        <v>1</v>
      </c>
      <c r="J138">
        <f t="shared" si="35"/>
        <v>11</v>
      </c>
      <c r="K138">
        <f t="shared" si="26"/>
        <v>9.375</v>
      </c>
      <c r="L138">
        <v>2</v>
      </c>
      <c r="M138">
        <v>3</v>
      </c>
      <c r="N138">
        <v>2</v>
      </c>
      <c r="O138">
        <v>1</v>
      </c>
      <c r="P138">
        <v>1</v>
      </c>
      <c r="R138">
        <v>1</v>
      </c>
      <c r="S138">
        <f t="shared" si="27"/>
        <v>10</v>
      </c>
      <c r="T138">
        <f t="shared" si="28"/>
        <v>10.714285714285714</v>
      </c>
      <c r="U138">
        <v>1</v>
      </c>
      <c r="V138">
        <v>1</v>
      </c>
      <c r="W138">
        <v>1</v>
      </c>
      <c r="X138">
        <v>1</v>
      </c>
      <c r="Y138">
        <v>3</v>
      </c>
      <c r="Z138">
        <v>2</v>
      </c>
      <c r="AA138">
        <v>1</v>
      </c>
      <c r="AB138">
        <f t="shared" si="29"/>
        <v>10</v>
      </c>
      <c r="AC138">
        <f t="shared" si="30"/>
        <v>10.714285714285714</v>
      </c>
      <c r="AD138">
        <v>2</v>
      </c>
      <c r="AE138">
        <v>2</v>
      </c>
      <c r="AF138">
        <v>4</v>
      </c>
      <c r="AG138">
        <v>2</v>
      </c>
      <c r="AH138">
        <v>1</v>
      </c>
      <c r="AI138">
        <v>3</v>
      </c>
      <c r="AJ138">
        <v>1</v>
      </c>
      <c r="AK138">
        <f t="shared" si="31"/>
        <v>15</v>
      </c>
      <c r="AL138">
        <f t="shared" si="32"/>
        <v>28.571428571428569</v>
      </c>
      <c r="AM138">
        <v>2</v>
      </c>
      <c r="AN138">
        <v>3</v>
      </c>
      <c r="AO138">
        <v>2</v>
      </c>
      <c r="AP138">
        <v>2</v>
      </c>
      <c r="AQ138">
        <v>1</v>
      </c>
      <c r="AR138">
        <v>1</v>
      </c>
      <c r="AS138" s="1">
        <v>2</v>
      </c>
      <c r="AT138" s="1">
        <f t="shared" si="33"/>
        <v>13</v>
      </c>
      <c r="AU138" s="1">
        <f t="shared" si="34"/>
        <v>21.428571428571427</v>
      </c>
    </row>
    <row r="139" spans="1:47">
      <c r="A139" t="s">
        <v>30</v>
      </c>
      <c r="B139">
        <v>4</v>
      </c>
      <c r="C139">
        <v>4</v>
      </c>
      <c r="D139">
        <v>4</v>
      </c>
      <c r="E139">
        <v>4</v>
      </c>
      <c r="F139">
        <v>3</v>
      </c>
      <c r="G139">
        <v>2</v>
      </c>
      <c r="H139">
        <v>3</v>
      </c>
      <c r="I139">
        <v>4</v>
      </c>
      <c r="J139">
        <f t="shared" si="35"/>
        <v>28</v>
      </c>
      <c r="K139">
        <f t="shared" si="26"/>
        <v>62.5</v>
      </c>
      <c r="L139">
        <v>2</v>
      </c>
      <c r="M139">
        <v>3</v>
      </c>
      <c r="N139">
        <v>3</v>
      </c>
      <c r="O139">
        <v>2</v>
      </c>
      <c r="P139">
        <v>4</v>
      </c>
      <c r="R139">
        <v>3</v>
      </c>
      <c r="S139">
        <f t="shared" si="27"/>
        <v>17</v>
      </c>
      <c r="T139">
        <f t="shared" si="28"/>
        <v>35.714285714285715</v>
      </c>
      <c r="U139">
        <v>1</v>
      </c>
      <c r="V139">
        <v>2</v>
      </c>
      <c r="W139">
        <v>2</v>
      </c>
      <c r="X139">
        <v>1</v>
      </c>
      <c r="Y139">
        <v>5</v>
      </c>
      <c r="Z139">
        <v>3</v>
      </c>
      <c r="AA139">
        <v>2</v>
      </c>
      <c r="AB139">
        <f t="shared" si="29"/>
        <v>16</v>
      </c>
      <c r="AC139">
        <f t="shared" si="30"/>
        <v>32.142857142857146</v>
      </c>
      <c r="AD139">
        <v>3</v>
      </c>
      <c r="AE139">
        <v>4</v>
      </c>
      <c r="AF139">
        <v>2</v>
      </c>
      <c r="AG139">
        <v>2</v>
      </c>
      <c r="AH139">
        <v>2</v>
      </c>
      <c r="AI139">
        <v>3</v>
      </c>
      <c r="AJ139">
        <v>3</v>
      </c>
      <c r="AK139">
        <f t="shared" si="31"/>
        <v>19</v>
      </c>
      <c r="AL139">
        <f t="shared" si="32"/>
        <v>42.857142857142854</v>
      </c>
      <c r="AM139">
        <v>3</v>
      </c>
      <c r="AN139">
        <v>2</v>
      </c>
      <c r="AO139">
        <v>4</v>
      </c>
      <c r="AP139">
        <v>3</v>
      </c>
      <c r="AQ139">
        <v>2</v>
      </c>
      <c r="AR139">
        <v>2</v>
      </c>
      <c r="AS139" s="1">
        <v>2</v>
      </c>
      <c r="AT139" s="1">
        <f t="shared" si="33"/>
        <v>18</v>
      </c>
      <c r="AU139" s="1">
        <f t="shared" si="34"/>
        <v>39.285714285714285</v>
      </c>
    </row>
    <row r="140" spans="1:47">
      <c r="A140" t="s">
        <v>31</v>
      </c>
      <c r="B140">
        <v>1</v>
      </c>
      <c r="C140">
        <v>2</v>
      </c>
      <c r="D140">
        <v>4</v>
      </c>
      <c r="E140">
        <v>4</v>
      </c>
      <c r="F140">
        <v>2</v>
      </c>
      <c r="G140">
        <v>1</v>
      </c>
      <c r="H140">
        <v>1</v>
      </c>
      <c r="I140">
        <v>3</v>
      </c>
      <c r="J140">
        <f t="shared" si="35"/>
        <v>18</v>
      </c>
      <c r="K140">
        <f t="shared" si="26"/>
        <v>31.25</v>
      </c>
      <c r="L140">
        <v>4</v>
      </c>
      <c r="M140">
        <v>4</v>
      </c>
      <c r="N140">
        <v>1</v>
      </c>
      <c r="O140">
        <v>3</v>
      </c>
      <c r="P140">
        <v>2</v>
      </c>
      <c r="R140">
        <v>2</v>
      </c>
      <c r="S140">
        <f t="shared" si="27"/>
        <v>16</v>
      </c>
      <c r="T140">
        <f t="shared" si="28"/>
        <v>32.142857142857146</v>
      </c>
      <c r="U140">
        <v>1</v>
      </c>
      <c r="V140">
        <v>1</v>
      </c>
      <c r="W140">
        <v>2</v>
      </c>
      <c r="X140">
        <v>1</v>
      </c>
      <c r="Y140">
        <v>4</v>
      </c>
      <c r="Z140">
        <v>2</v>
      </c>
      <c r="AA140">
        <v>1</v>
      </c>
      <c r="AB140">
        <f t="shared" si="29"/>
        <v>12</v>
      </c>
      <c r="AC140">
        <f t="shared" si="30"/>
        <v>17.857142857142858</v>
      </c>
      <c r="AD140">
        <v>1</v>
      </c>
      <c r="AE140">
        <v>4</v>
      </c>
      <c r="AF140">
        <v>3</v>
      </c>
      <c r="AG140">
        <v>1</v>
      </c>
      <c r="AH140">
        <v>1</v>
      </c>
      <c r="AI140">
        <v>3</v>
      </c>
      <c r="AJ140">
        <v>1</v>
      </c>
      <c r="AK140">
        <f t="shared" si="31"/>
        <v>14</v>
      </c>
      <c r="AL140">
        <f t="shared" si="32"/>
        <v>25</v>
      </c>
      <c r="AM140">
        <v>4</v>
      </c>
      <c r="AN140">
        <v>3</v>
      </c>
      <c r="AO140">
        <v>1</v>
      </c>
      <c r="AP140">
        <v>5</v>
      </c>
      <c r="AQ140">
        <v>2</v>
      </c>
      <c r="AR140">
        <v>1</v>
      </c>
      <c r="AS140" s="1">
        <v>3</v>
      </c>
      <c r="AT140" s="1">
        <f t="shared" si="33"/>
        <v>19</v>
      </c>
      <c r="AU140" s="1">
        <f t="shared" si="34"/>
        <v>42.857142857142854</v>
      </c>
    </row>
    <row r="141" spans="1:47">
      <c r="A141" t="s">
        <v>32</v>
      </c>
      <c r="B141">
        <v>3</v>
      </c>
      <c r="C141">
        <v>3</v>
      </c>
      <c r="D141">
        <v>1</v>
      </c>
      <c r="E141">
        <v>1</v>
      </c>
      <c r="F141">
        <v>1</v>
      </c>
      <c r="G141">
        <v>1</v>
      </c>
      <c r="H141">
        <v>2</v>
      </c>
      <c r="I141">
        <v>2</v>
      </c>
      <c r="J141">
        <f t="shared" si="35"/>
        <v>14</v>
      </c>
      <c r="K141">
        <f t="shared" si="26"/>
        <v>18.75</v>
      </c>
      <c r="L141">
        <v>1</v>
      </c>
      <c r="M141">
        <v>1</v>
      </c>
      <c r="N141">
        <v>3</v>
      </c>
      <c r="O141">
        <v>3</v>
      </c>
      <c r="P141">
        <v>2</v>
      </c>
      <c r="Q141">
        <v>1</v>
      </c>
      <c r="S141">
        <f t="shared" si="27"/>
        <v>11</v>
      </c>
      <c r="T141">
        <f t="shared" si="28"/>
        <v>14.285714285714285</v>
      </c>
      <c r="U141">
        <v>1</v>
      </c>
      <c r="V141">
        <v>2</v>
      </c>
      <c r="W141">
        <v>1</v>
      </c>
      <c r="X141">
        <v>1</v>
      </c>
      <c r="Y141">
        <v>2</v>
      </c>
      <c r="Z141">
        <v>2</v>
      </c>
      <c r="AA141">
        <v>2</v>
      </c>
      <c r="AB141">
        <f t="shared" si="29"/>
        <v>11</v>
      </c>
      <c r="AC141">
        <f t="shared" si="30"/>
        <v>14.285714285714285</v>
      </c>
      <c r="AD141">
        <v>3</v>
      </c>
      <c r="AE141">
        <v>3</v>
      </c>
      <c r="AF141">
        <v>3</v>
      </c>
      <c r="AG141">
        <v>1</v>
      </c>
      <c r="AH141">
        <v>1</v>
      </c>
      <c r="AI141">
        <v>2</v>
      </c>
      <c r="AJ141">
        <v>2</v>
      </c>
      <c r="AK141">
        <f t="shared" si="31"/>
        <v>15</v>
      </c>
      <c r="AL141">
        <f t="shared" si="32"/>
        <v>28.571428571428569</v>
      </c>
      <c r="AM141">
        <v>3</v>
      </c>
      <c r="AN141">
        <v>4</v>
      </c>
      <c r="AO141">
        <v>2</v>
      </c>
      <c r="AP141">
        <v>2</v>
      </c>
      <c r="AQ141">
        <v>2</v>
      </c>
      <c r="AR141">
        <v>3</v>
      </c>
      <c r="AS141" s="1">
        <v>2</v>
      </c>
      <c r="AT141" s="1">
        <f t="shared" si="33"/>
        <v>18</v>
      </c>
      <c r="AU141" s="1">
        <f t="shared" si="34"/>
        <v>39.285714285714285</v>
      </c>
    </row>
    <row r="142" spans="1:47">
      <c r="A142" t="s">
        <v>33</v>
      </c>
      <c r="B142">
        <v>2</v>
      </c>
      <c r="C142">
        <v>3</v>
      </c>
      <c r="D142">
        <v>2</v>
      </c>
      <c r="E142">
        <v>2</v>
      </c>
      <c r="F142">
        <v>3</v>
      </c>
      <c r="G142">
        <v>2</v>
      </c>
      <c r="H142">
        <v>2</v>
      </c>
      <c r="I142">
        <v>2</v>
      </c>
      <c r="J142">
        <f t="shared" si="35"/>
        <v>18</v>
      </c>
      <c r="K142">
        <f t="shared" si="26"/>
        <v>31.25</v>
      </c>
      <c r="L142">
        <v>3</v>
      </c>
      <c r="M142">
        <v>2</v>
      </c>
      <c r="N142">
        <v>2</v>
      </c>
      <c r="O142">
        <v>2</v>
      </c>
      <c r="P142">
        <v>2</v>
      </c>
      <c r="Q142">
        <v>1</v>
      </c>
      <c r="S142">
        <f t="shared" si="27"/>
        <v>12</v>
      </c>
      <c r="T142">
        <f t="shared" si="28"/>
        <v>17.857142857142858</v>
      </c>
      <c r="U142">
        <v>1</v>
      </c>
      <c r="V142">
        <v>1</v>
      </c>
      <c r="W142">
        <v>1</v>
      </c>
      <c r="X142">
        <v>1</v>
      </c>
      <c r="Y142">
        <v>2</v>
      </c>
      <c r="Z142">
        <v>2</v>
      </c>
      <c r="AA142">
        <v>1</v>
      </c>
      <c r="AB142">
        <f t="shared" si="29"/>
        <v>9</v>
      </c>
      <c r="AC142">
        <f t="shared" si="30"/>
        <v>7.1428571428571423</v>
      </c>
      <c r="AD142">
        <v>3</v>
      </c>
      <c r="AE142">
        <v>3</v>
      </c>
      <c r="AF142">
        <v>3</v>
      </c>
      <c r="AG142">
        <v>3</v>
      </c>
      <c r="AH142">
        <v>2</v>
      </c>
      <c r="AI142">
        <v>3</v>
      </c>
      <c r="AJ142">
        <v>2</v>
      </c>
      <c r="AK142">
        <f t="shared" si="31"/>
        <v>19</v>
      </c>
      <c r="AL142">
        <f t="shared" si="32"/>
        <v>42.857142857142854</v>
      </c>
      <c r="AM142">
        <v>3</v>
      </c>
      <c r="AN142">
        <v>2</v>
      </c>
      <c r="AO142">
        <v>2</v>
      </c>
      <c r="AP142">
        <v>2</v>
      </c>
      <c r="AQ142">
        <v>1</v>
      </c>
      <c r="AR142">
        <v>1</v>
      </c>
      <c r="AS142" s="1">
        <v>2</v>
      </c>
      <c r="AT142" s="1">
        <f t="shared" si="33"/>
        <v>13</v>
      </c>
      <c r="AU142" s="1">
        <f t="shared" si="34"/>
        <v>21.428571428571427</v>
      </c>
    </row>
    <row r="143" spans="1:47">
      <c r="A143" t="s">
        <v>34</v>
      </c>
      <c r="B143">
        <v>2</v>
      </c>
      <c r="C143">
        <v>2</v>
      </c>
      <c r="D143">
        <v>3</v>
      </c>
      <c r="E143">
        <v>2</v>
      </c>
      <c r="F143">
        <v>3</v>
      </c>
      <c r="G143">
        <v>2</v>
      </c>
      <c r="H143">
        <v>4</v>
      </c>
      <c r="I143">
        <v>2</v>
      </c>
      <c r="J143">
        <f t="shared" si="35"/>
        <v>20</v>
      </c>
      <c r="K143">
        <f t="shared" si="26"/>
        <v>37.5</v>
      </c>
      <c r="L143">
        <v>2</v>
      </c>
      <c r="M143">
        <v>2</v>
      </c>
      <c r="N143">
        <v>2</v>
      </c>
      <c r="O143">
        <v>1</v>
      </c>
      <c r="P143">
        <v>1</v>
      </c>
      <c r="Q143">
        <v>1</v>
      </c>
      <c r="S143">
        <f t="shared" si="27"/>
        <v>9</v>
      </c>
      <c r="T143">
        <f t="shared" si="28"/>
        <v>7.1428571428571423</v>
      </c>
      <c r="U143">
        <v>1</v>
      </c>
      <c r="V143">
        <v>1</v>
      </c>
      <c r="W143">
        <v>1</v>
      </c>
      <c r="X143">
        <v>1</v>
      </c>
      <c r="Y143">
        <v>2</v>
      </c>
      <c r="Z143">
        <v>3</v>
      </c>
      <c r="AA143">
        <v>1</v>
      </c>
      <c r="AB143">
        <f t="shared" si="29"/>
        <v>10</v>
      </c>
      <c r="AC143">
        <f t="shared" si="30"/>
        <v>10.714285714285714</v>
      </c>
      <c r="AD143">
        <v>1</v>
      </c>
      <c r="AE143">
        <v>1</v>
      </c>
      <c r="AF143">
        <v>1</v>
      </c>
      <c r="AG143">
        <v>1</v>
      </c>
      <c r="AH143">
        <v>1</v>
      </c>
      <c r="AI143">
        <v>1</v>
      </c>
      <c r="AJ143">
        <v>1</v>
      </c>
      <c r="AK143">
        <f t="shared" si="31"/>
        <v>7</v>
      </c>
      <c r="AL143">
        <f t="shared" si="32"/>
        <v>0</v>
      </c>
      <c r="AM143">
        <v>3</v>
      </c>
      <c r="AN143">
        <v>2</v>
      </c>
      <c r="AO143">
        <v>3</v>
      </c>
      <c r="AP143">
        <v>3</v>
      </c>
      <c r="AQ143">
        <v>1</v>
      </c>
      <c r="AR143">
        <v>1</v>
      </c>
      <c r="AS143" s="1">
        <v>5</v>
      </c>
      <c r="AT143" s="1">
        <f t="shared" si="33"/>
        <v>18</v>
      </c>
      <c r="AU143" s="1">
        <f t="shared" si="34"/>
        <v>39.285714285714285</v>
      </c>
    </row>
    <row r="144" spans="1:47">
      <c r="A144" t="s">
        <v>35</v>
      </c>
      <c r="B144">
        <v>2</v>
      </c>
      <c r="C144">
        <v>2</v>
      </c>
      <c r="D144">
        <v>1</v>
      </c>
      <c r="E144">
        <v>3</v>
      </c>
      <c r="F144">
        <v>2</v>
      </c>
      <c r="G144">
        <v>1</v>
      </c>
      <c r="H144">
        <v>2</v>
      </c>
      <c r="I144">
        <v>3</v>
      </c>
      <c r="J144">
        <f t="shared" si="35"/>
        <v>16</v>
      </c>
      <c r="K144">
        <f t="shared" si="26"/>
        <v>25</v>
      </c>
      <c r="L144">
        <v>4</v>
      </c>
      <c r="M144">
        <v>2</v>
      </c>
      <c r="N144">
        <v>3</v>
      </c>
      <c r="O144">
        <v>2</v>
      </c>
      <c r="P144">
        <v>1</v>
      </c>
      <c r="R144">
        <v>1</v>
      </c>
      <c r="S144">
        <f t="shared" si="27"/>
        <v>13</v>
      </c>
      <c r="T144">
        <f t="shared" si="28"/>
        <v>21.428571428571427</v>
      </c>
      <c r="U144">
        <v>2</v>
      </c>
      <c r="V144">
        <v>2</v>
      </c>
      <c r="W144">
        <v>1</v>
      </c>
      <c r="X144">
        <v>1</v>
      </c>
      <c r="Y144">
        <v>4</v>
      </c>
      <c r="Z144">
        <v>5</v>
      </c>
      <c r="AA144">
        <v>3</v>
      </c>
      <c r="AB144">
        <f t="shared" si="29"/>
        <v>18</v>
      </c>
      <c r="AC144">
        <f t="shared" si="30"/>
        <v>39.285714285714285</v>
      </c>
      <c r="AD144">
        <v>2</v>
      </c>
      <c r="AE144">
        <v>3</v>
      </c>
      <c r="AF144">
        <v>3</v>
      </c>
      <c r="AG144">
        <v>3</v>
      </c>
      <c r="AH144">
        <v>2</v>
      </c>
      <c r="AI144">
        <v>1</v>
      </c>
      <c r="AJ144">
        <v>1</v>
      </c>
      <c r="AK144">
        <f t="shared" si="31"/>
        <v>15</v>
      </c>
      <c r="AL144">
        <f t="shared" si="32"/>
        <v>28.571428571428569</v>
      </c>
      <c r="AM144">
        <v>1</v>
      </c>
      <c r="AN144">
        <v>2</v>
      </c>
      <c r="AO144">
        <v>2</v>
      </c>
      <c r="AP144">
        <v>4</v>
      </c>
      <c r="AQ144">
        <v>3</v>
      </c>
      <c r="AR144">
        <v>2</v>
      </c>
      <c r="AS144" s="1">
        <v>3</v>
      </c>
      <c r="AT144" s="1">
        <f t="shared" si="33"/>
        <v>17</v>
      </c>
      <c r="AU144" s="1">
        <f t="shared" si="34"/>
        <v>35.714285714285715</v>
      </c>
    </row>
    <row r="145" spans="1:47">
      <c r="A145" t="s">
        <v>36</v>
      </c>
      <c r="B145">
        <v>2</v>
      </c>
      <c r="C145">
        <v>2</v>
      </c>
      <c r="D145">
        <v>4</v>
      </c>
      <c r="E145">
        <v>4</v>
      </c>
      <c r="F145">
        <v>1</v>
      </c>
      <c r="G145">
        <v>1</v>
      </c>
      <c r="H145">
        <v>2</v>
      </c>
      <c r="I145">
        <v>2</v>
      </c>
      <c r="J145">
        <f t="shared" si="35"/>
        <v>18</v>
      </c>
      <c r="K145">
        <f t="shared" si="26"/>
        <v>31.25</v>
      </c>
      <c r="L145">
        <v>4</v>
      </c>
      <c r="M145">
        <v>1</v>
      </c>
      <c r="N145">
        <v>3</v>
      </c>
      <c r="O145">
        <v>4</v>
      </c>
      <c r="P145">
        <v>2</v>
      </c>
      <c r="R145">
        <v>2</v>
      </c>
      <c r="S145">
        <f t="shared" si="27"/>
        <v>16</v>
      </c>
      <c r="T145">
        <f t="shared" si="28"/>
        <v>32.142857142857146</v>
      </c>
      <c r="U145">
        <v>1</v>
      </c>
      <c r="V145">
        <v>1</v>
      </c>
      <c r="W145">
        <v>2</v>
      </c>
      <c r="X145">
        <v>3</v>
      </c>
      <c r="Y145">
        <v>2</v>
      </c>
      <c r="Z145">
        <v>2</v>
      </c>
      <c r="AA145">
        <v>2</v>
      </c>
      <c r="AB145">
        <f t="shared" si="29"/>
        <v>13</v>
      </c>
      <c r="AC145">
        <f t="shared" si="30"/>
        <v>21.428571428571427</v>
      </c>
      <c r="AD145">
        <v>2</v>
      </c>
      <c r="AE145">
        <v>2</v>
      </c>
      <c r="AF145">
        <v>3</v>
      </c>
      <c r="AG145">
        <v>2</v>
      </c>
      <c r="AH145">
        <v>1</v>
      </c>
      <c r="AI145">
        <v>4</v>
      </c>
      <c r="AJ145">
        <v>1</v>
      </c>
      <c r="AK145">
        <f t="shared" si="31"/>
        <v>15</v>
      </c>
      <c r="AL145">
        <f t="shared" si="32"/>
        <v>28.571428571428569</v>
      </c>
      <c r="AM145">
        <v>2</v>
      </c>
      <c r="AN145">
        <v>2</v>
      </c>
      <c r="AO145">
        <v>1</v>
      </c>
      <c r="AP145">
        <v>2</v>
      </c>
      <c r="AQ145">
        <v>1</v>
      </c>
      <c r="AR145">
        <v>1</v>
      </c>
      <c r="AS145" s="1">
        <v>3</v>
      </c>
      <c r="AT145" s="1">
        <f t="shared" si="33"/>
        <v>12</v>
      </c>
      <c r="AU145" s="1">
        <f t="shared" si="34"/>
        <v>17.857142857142858</v>
      </c>
    </row>
    <row r="146" spans="1:47">
      <c r="A146" t="s">
        <v>37</v>
      </c>
      <c r="B146">
        <v>1</v>
      </c>
      <c r="C146">
        <v>2</v>
      </c>
      <c r="D146">
        <v>1</v>
      </c>
      <c r="E146">
        <v>2</v>
      </c>
      <c r="F146">
        <v>2</v>
      </c>
      <c r="G146">
        <v>2</v>
      </c>
      <c r="H146">
        <v>2</v>
      </c>
      <c r="I146">
        <v>3</v>
      </c>
      <c r="J146">
        <f t="shared" si="35"/>
        <v>15</v>
      </c>
      <c r="K146">
        <f t="shared" si="26"/>
        <v>21.875</v>
      </c>
      <c r="L146">
        <v>2</v>
      </c>
      <c r="M146">
        <v>1</v>
      </c>
      <c r="N146">
        <v>2</v>
      </c>
      <c r="O146">
        <v>3</v>
      </c>
      <c r="P146">
        <v>1</v>
      </c>
      <c r="R146">
        <v>1</v>
      </c>
      <c r="S146">
        <f t="shared" si="27"/>
        <v>10</v>
      </c>
      <c r="T146">
        <f t="shared" si="28"/>
        <v>10.714285714285714</v>
      </c>
      <c r="U146">
        <v>2</v>
      </c>
      <c r="V146">
        <v>2</v>
      </c>
      <c r="W146">
        <v>2</v>
      </c>
      <c r="X146">
        <v>2</v>
      </c>
      <c r="Y146">
        <v>2</v>
      </c>
      <c r="Z146">
        <v>2</v>
      </c>
      <c r="AA146">
        <v>2</v>
      </c>
      <c r="AB146">
        <f t="shared" si="29"/>
        <v>14</v>
      </c>
      <c r="AC146">
        <f t="shared" si="30"/>
        <v>25</v>
      </c>
      <c r="AD146">
        <v>2</v>
      </c>
      <c r="AE146">
        <v>2</v>
      </c>
      <c r="AF146">
        <v>2</v>
      </c>
      <c r="AG146">
        <v>3</v>
      </c>
      <c r="AH146">
        <v>2</v>
      </c>
      <c r="AI146">
        <v>3</v>
      </c>
      <c r="AJ146">
        <v>2</v>
      </c>
      <c r="AK146">
        <f t="shared" si="31"/>
        <v>16</v>
      </c>
      <c r="AL146">
        <f t="shared" si="32"/>
        <v>32.142857142857146</v>
      </c>
      <c r="AM146">
        <v>2</v>
      </c>
      <c r="AN146">
        <v>2</v>
      </c>
      <c r="AO146">
        <v>2</v>
      </c>
      <c r="AP146">
        <v>3</v>
      </c>
      <c r="AQ146">
        <v>2</v>
      </c>
      <c r="AR146">
        <v>2</v>
      </c>
      <c r="AS146" s="1">
        <v>2</v>
      </c>
      <c r="AT146" s="1">
        <f t="shared" si="33"/>
        <v>15</v>
      </c>
      <c r="AU146" s="1">
        <f t="shared" si="34"/>
        <v>28.571428571428569</v>
      </c>
    </row>
    <row r="147" spans="1:47">
      <c r="A147" t="s">
        <v>38</v>
      </c>
      <c r="B147">
        <v>2</v>
      </c>
      <c r="C147">
        <v>2</v>
      </c>
      <c r="D147">
        <v>2</v>
      </c>
      <c r="E147">
        <v>2</v>
      </c>
      <c r="F147">
        <v>2</v>
      </c>
      <c r="G147">
        <v>2</v>
      </c>
      <c r="H147">
        <v>4</v>
      </c>
      <c r="I147">
        <v>1</v>
      </c>
      <c r="J147">
        <f t="shared" si="35"/>
        <v>17</v>
      </c>
      <c r="K147">
        <f t="shared" si="26"/>
        <v>28.125</v>
      </c>
      <c r="L147">
        <v>3</v>
      </c>
      <c r="M147">
        <v>3</v>
      </c>
      <c r="N147">
        <v>1</v>
      </c>
      <c r="O147">
        <v>2</v>
      </c>
      <c r="P147">
        <v>2</v>
      </c>
      <c r="Q147">
        <v>1</v>
      </c>
      <c r="S147">
        <f t="shared" si="27"/>
        <v>12</v>
      </c>
      <c r="T147">
        <f t="shared" si="28"/>
        <v>17.857142857142858</v>
      </c>
      <c r="U147">
        <v>1</v>
      </c>
      <c r="V147">
        <v>1</v>
      </c>
      <c r="W147">
        <v>1</v>
      </c>
      <c r="X147">
        <v>2</v>
      </c>
      <c r="Y147">
        <v>1</v>
      </c>
      <c r="Z147">
        <v>3</v>
      </c>
      <c r="AA147">
        <v>2</v>
      </c>
      <c r="AB147">
        <f t="shared" si="29"/>
        <v>11</v>
      </c>
      <c r="AC147">
        <f t="shared" si="30"/>
        <v>14.285714285714285</v>
      </c>
      <c r="AD147">
        <v>3</v>
      </c>
      <c r="AE147">
        <v>4</v>
      </c>
      <c r="AF147">
        <v>3</v>
      </c>
      <c r="AG147">
        <v>2</v>
      </c>
      <c r="AH147">
        <v>1</v>
      </c>
      <c r="AI147">
        <v>4</v>
      </c>
      <c r="AJ147">
        <v>1</v>
      </c>
      <c r="AK147">
        <f t="shared" si="31"/>
        <v>18</v>
      </c>
      <c r="AL147">
        <f t="shared" si="32"/>
        <v>39.285714285714285</v>
      </c>
      <c r="AM147">
        <v>3</v>
      </c>
      <c r="AN147">
        <v>4</v>
      </c>
      <c r="AO147">
        <v>3</v>
      </c>
      <c r="AP147">
        <v>2</v>
      </c>
      <c r="AQ147">
        <v>1</v>
      </c>
      <c r="AR147">
        <v>1</v>
      </c>
      <c r="AS147" s="1">
        <v>4</v>
      </c>
      <c r="AT147" s="1">
        <f t="shared" si="33"/>
        <v>18</v>
      </c>
      <c r="AU147" s="1">
        <f t="shared" si="34"/>
        <v>39.285714285714285</v>
      </c>
    </row>
    <row r="148" spans="1:47">
      <c r="A148" t="s">
        <v>39</v>
      </c>
      <c r="B148">
        <v>3</v>
      </c>
      <c r="C148">
        <v>3</v>
      </c>
      <c r="D148">
        <v>1</v>
      </c>
      <c r="E148">
        <v>5</v>
      </c>
      <c r="F148">
        <v>1</v>
      </c>
      <c r="G148">
        <v>2</v>
      </c>
      <c r="H148">
        <v>1</v>
      </c>
      <c r="I148">
        <v>1</v>
      </c>
      <c r="J148">
        <f t="shared" si="35"/>
        <v>17</v>
      </c>
      <c r="K148">
        <f t="shared" si="26"/>
        <v>28.125</v>
      </c>
      <c r="L148">
        <v>3</v>
      </c>
      <c r="M148">
        <v>1</v>
      </c>
      <c r="N148">
        <v>3</v>
      </c>
      <c r="O148">
        <v>1</v>
      </c>
      <c r="P148">
        <v>2</v>
      </c>
      <c r="R148">
        <v>1</v>
      </c>
      <c r="S148">
        <f t="shared" si="27"/>
        <v>11</v>
      </c>
      <c r="T148">
        <f t="shared" si="28"/>
        <v>14.285714285714285</v>
      </c>
      <c r="U148">
        <v>1</v>
      </c>
      <c r="V148">
        <v>1</v>
      </c>
      <c r="W148">
        <v>3</v>
      </c>
      <c r="X148">
        <v>1</v>
      </c>
      <c r="Y148">
        <v>2</v>
      </c>
      <c r="Z148">
        <v>3</v>
      </c>
      <c r="AA148">
        <v>1</v>
      </c>
      <c r="AB148">
        <f t="shared" si="29"/>
        <v>12</v>
      </c>
      <c r="AC148">
        <f t="shared" si="30"/>
        <v>17.857142857142858</v>
      </c>
      <c r="AD148">
        <v>2</v>
      </c>
      <c r="AE148">
        <v>2</v>
      </c>
      <c r="AF148">
        <v>1</v>
      </c>
      <c r="AG148">
        <v>1</v>
      </c>
      <c r="AH148">
        <v>1</v>
      </c>
      <c r="AI148">
        <v>3</v>
      </c>
      <c r="AJ148">
        <v>1</v>
      </c>
      <c r="AK148">
        <f t="shared" si="31"/>
        <v>11</v>
      </c>
      <c r="AL148">
        <f t="shared" si="32"/>
        <v>14.285714285714285</v>
      </c>
      <c r="AM148">
        <v>5</v>
      </c>
      <c r="AN148">
        <v>5</v>
      </c>
      <c r="AO148">
        <v>1</v>
      </c>
      <c r="AP148">
        <v>5</v>
      </c>
      <c r="AQ148">
        <v>1</v>
      </c>
      <c r="AR148">
        <v>1</v>
      </c>
      <c r="AS148" s="1">
        <v>2</v>
      </c>
      <c r="AT148" s="1">
        <f t="shared" si="33"/>
        <v>20</v>
      </c>
      <c r="AU148" s="1">
        <f t="shared" si="34"/>
        <v>46.428571428571431</v>
      </c>
    </row>
    <row r="149" spans="1:47">
      <c r="A149" t="s">
        <v>40</v>
      </c>
      <c r="B149">
        <v>1</v>
      </c>
      <c r="C149">
        <v>1</v>
      </c>
      <c r="D149">
        <v>1</v>
      </c>
      <c r="E149">
        <v>2</v>
      </c>
      <c r="F149">
        <v>1</v>
      </c>
      <c r="G149">
        <v>1</v>
      </c>
      <c r="H149">
        <v>1</v>
      </c>
      <c r="I149">
        <v>1</v>
      </c>
      <c r="J149">
        <f t="shared" si="35"/>
        <v>9</v>
      </c>
      <c r="K149">
        <f t="shared" si="26"/>
        <v>3.125</v>
      </c>
      <c r="L149">
        <v>1</v>
      </c>
      <c r="M149">
        <v>1</v>
      </c>
      <c r="N149">
        <v>1</v>
      </c>
      <c r="O149">
        <v>1</v>
      </c>
      <c r="P149">
        <v>1</v>
      </c>
      <c r="R149">
        <v>1</v>
      </c>
      <c r="S149">
        <f t="shared" si="27"/>
        <v>6</v>
      </c>
      <c r="T149">
        <f t="shared" si="28"/>
        <v>-3.5714285714285712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  <c r="AB149">
        <f t="shared" si="29"/>
        <v>7</v>
      </c>
      <c r="AC149">
        <f t="shared" si="30"/>
        <v>0</v>
      </c>
      <c r="AD149">
        <v>1</v>
      </c>
      <c r="AE149">
        <v>1</v>
      </c>
      <c r="AF149">
        <v>1</v>
      </c>
      <c r="AG149">
        <v>1</v>
      </c>
      <c r="AH149">
        <v>1</v>
      </c>
      <c r="AI149">
        <v>1</v>
      </c>
      <c r="AJ149">
        <v>1</v>
      </c>
      <c r="AK149">
        <f t="shared" si="31"/>
        <v>7</v>
      </c>
      <c r="AL149">
        <f t="shared" si="32"/>
        <v>0</v>
      </c>
      <c r="AM149">
        <v>3</v>
      </c>
      <c r="AN149">
        <v>3</v>
      </c>
      <c r="AO149">
        <v>2</v>
      </c>
      <c r="AP149">
        <v>1</v>
      </c>
      <c r="AQ149">
        <v>1</v>
      </c>
      <c r="AR149">
        <v>1</v>
      </c>
      <c r="AS149" s="1">
        <v>1</v>
      </c>
      <c r="AT149" s="1">
        <f t="shared" si="33"/>
        <v>12</v>
      </c>
      <c r="AU149" s="1">
        <f t="shared" si="34"/>
        <v>17.857142857142858</v>
      </c>
    </row>
    <row r="150" spans="1:47">
      <c r="A150" t="s">
        <v>41</v>
      </c>
      <c r="B150">
        <v>3</v>
      </c>
      <c r="C150">
        <v>4</v>
      </c>
      <c r="D150">
        <v>4</v>
      </c>
      <c r="E150">
        <v>4</v>
      </c>
      <c r="F150">
        <v>4</v>
      </c>
      <c r="G150">
        <v>3</v>
      </c>
      <c r="H150">
        <v>4</v>
      </c>
      <c r="I150">
        <v>3</v>
      </c>
      <c r="J150">
        <f t="shared" si="35"/>
        <v>29</v>
      </c>
      <c r="K150">
        <f t="shared" si="26"/>
        <v>65.625</v>
      </c>
      <c r="L150">
        <v>4</v>
      </c>
      <c r="M150">
        <v>2</v>
      </c>
      <c r="N150">
        <v>3</v>
      </c>
      <c r="O150">
        <v>3</v>
      </c>
      <c r="P150">
        <v>1</v>
      </c>
      <c r="R150">
        <v>3</v>
      </c>
      <c r="S150">
        <f t="shared" si="27"/>
        <v>16</v>
      </c>
      <c r="T150">
        <f t="shared" si="28"/>
        <v>32.142857142857146</v>
      </c>
      <c r="U150">
        <v>2</v>
      </c>
      <c r="V150">
        <v>2</v>
      </c>
      <c r="W150">
        <v>2</v>
      </c>
      <c r="X150">
        <v>2</v>
      </c>
      <c r="Y150">
        <v>2</v>
      </c>
      <c r="Z150">
        <v>2</v>
      </c>
      <c r="AA150">
        <v>3</v>
      </c>
      <c r="AB150">
        <f t="shared" si="29"/>
        <v>15</v>
      </c>
      <c r="AC150">
        <f t="shared" si="30"/>
        <v>28.571428571428569</v>
      </c>
      <c r="AD150">
        <v>1</v>
      </c>
      <c r="AE150">
        <v>1</v>
      </c>
      <c r="AF150">
        <v>1</v>
      </c>
      <c r="AG150">
        <v>1</v>
      </c>
      <c r="AH150">
        <v>1</v>
      </c>
      <c r="AI150">
        <v>1</v>
      </c>
      <c r="AJ150">
        <v>1</v>
      </c>
      <c r="AK150">
        <f t="shared" si="31"/>
        <v>7</v>
      </c>
      <c r="AL150">
        <f t="shared" si="32"/>
        <v>0</v>
      </c>
      <c r="AM150">
        <v>4</v>
      </c>
      <c r="AN150">
        <v>3</v>
      </c>
      <c r="AO150">
        <v>3</v>
      </c>
      <c r="AP150">
        <v>3</v>
      </c>
      <c r="AQ150">
        <v>4</v>
      </c>
      <c r="AR150">
        <v>2</v>
      </c>
      <c r="AS150" s="1">
        <v>4</v>
      </c>
      <c r="AT150" s="1">
        <f t="shared" si="33"/>
        <v>23</v>
      </c>
      <c r="AU150" s="1">
        <f t="shared" si="34"/>
        <v>57.142857142857139</v>
      </c>
    </row>
    <row r="151" spans="1:47">
      <c r="A151" t="s">
        <v>42</v>
      </c>
      <c r="B151">
        <v>3</v>
      </c>
      <c r="C151">
        <v>2</v>
      </c>
      <c r="D151">
        <v>4</v>
      </c>
      <c r="E151">
        <v>2</v>
      </c>
      <c r="F151">
        <v>1</v>
      </c>
      <c r="G151">
        <v>2</v>
      </c>
      <c r="H151">
        <v>3</v>
      </c>
      <c r="I151">
        <v>2</v>
      </c>
      <c r="J151">
        <f t="shared" si="35"/>
        <v>19</v>
      </c>
      <c r="K151">
        <f t="shared" si="26"/>
        <v>34.375</v>
      </c>
      <c r="L151">
        <v>2</v>
      </c>
      <c r="M151">
        <v>2</v>
      </c>
      <c r="N151">
        <v>2</v>
      </c>
      <c r="O151">
        <v>2</v>
      </c>
      <c r="P151">
        <v>2</v>
      </c>
      <c r="Q151">
        <v>1</v>
      </c>
      <c r="S151">
        <f t="shared" si="27"/>
        <v>11</v>
      </c>
      <c r="T151">
        <f t="shared" si="28"/>
        <v>14.285714285714285</v>
      </c>
      <c r="U151">
        <v>2</v>
      </c>
      <c r="V151">
        <v>1</v>
      </c>
      <c r="W151">
        <v>2</v>
      </c>
      <c r="X151">
        <v>2</v>
      </c>
      <c r="Y151">
        <v>3</v>
      </c>
      <c r="Z151">
        <v>3</v>
      </c>
      <c r="AA151">
        <v>3</v>
      </c>
      <c r="AB151">
        <f t="shared" si="29"/>
        <v>16</v>
      </c>
      <c r="AC151">
        <f t="shared" si="30"/>
        <v>32.142857142857146</v>
      </c>
      <c r="AD151">
        <v>2</v>
      </c>
      <c r="AE151">
        <v>2</v>
      </c>
      <c r="AF151">
        <v>2</v>
      </c>
      <c r="AG151">
        <v>2</v>
      </c>
      <c r="AH151">
        <v>2</v>
      </c>
      <c r="AI151">
        <v>2</v>
      </c>
      <c r="AJ151">
        <v>4</v>
      </c>
      <c r="AK151">
        <f t="shared" si="31"/>
        <v>16</v>
      </c>
      <c r="AL151">
        <f t="shared" si="32"/>
        <v>32.142857142857146</v>
      </c>
      <c r="AM151">
        <v>2</v>
      </c>
      <c r="AN151">
        <v>3</v>
      </c>
      <c r="AO151">
        <v>2</v>
      </c>
      <c r="AP151">
        <v>1</v>
      </c>
      <c r="AQ151">
        <v>1</v>
      </c>
      <c r="AR151">
        <v>1</v>
      </c>
      <c r="AS151" s="1">
        <v>1</v>
      </c>
      <c r="AT151" s="1">
        <f t="shared" si="33"/>
        <v>11</v>
      </c>
      <c r="AU151" s="1">
        <f t="shared" si="34"/>
        <v>14.285714285714285</v>
      </c>
    </row>
    <row r="152" spans="1:47">
      <c r="A152" t="s">
        <v>43</v>
      </c>
      <c r="B152">
        <v>2</v>
      </c>
      <c r="C152">
        <v>2</v>
      </c>
      <c r="D152">
        <v>4</v>
      </c>
      <c r="E152">
        <v>1</v>
      </c>
      <c r="F152">
        <v>1</v>
      </c>
      <c r="G152">
        <v>1</v>
      </c>
      <c r="H152">
        <v>2</v>
      </c>
      <c r="I152">
        <v>3</v>
      </c>
      <c r="J152">
        <f t="shared" si="35"/>
        <v>16</v>
      </c>
      <c r="K152">
        <f t="shared" si="26"/>
        <v>25</v>
      </c>
      <c r="L152">
        <v>1</v>
      </c>
      <c r="M152">
        <v>1</v>
      </c>
      <c r="N152">
        <v>1</v>
      </c>
      <c r="O152">
        <v>4</v>
      </c>
      <c r="P152">
        <v>1</v>
      </c>
      <c r="Q152">
        <v>1</v>
      </c>
      <c r="S152">
        <f t="shared" si="27"/>
        <v>9</v>
      </c>
      <c r="T152">
        <f t="shared" si="28"/>
        <v>7.1428571428571423</v>
      </c>
      <c r="U152">
        <v>1</v>
      </c>
      <c r="V152">
        <v>3</v>
      </c>
      <c r="W152">
        <v>2</v>
      </c>
      <c r="X152">
        <v>4</v>
      </c>
      <c r="Y152">
        <v>4</v>
      </c>
      <c r="Z152">
        <v>4</v>
      </c>
      <c r="AA152">
        <v>3</v>
      </c>
      <c r="AB152">
        <f t="shared" si="29"/>
        <v>21</v>
      </c>
      <c r="AC152">
        <f t="shared" si="30"/>
        <v>50</v>
      </c>
      <c r="AD152">
        <v>3</v>
      </c>
      <c r="AE152">
        <v>3</v>
      </c>
      <c r="AF152">
        <v>3</v>
      </c>
      <c r="AG152">
        <v>3</v>
      </c>
      <c r="AH152">
        <v>3</v>
      </c>
      <c r="AI152">
        <v>1</v>
      </c>
      <c r="AJ152">
        <v>1</v>
      </c>
      <c r="AK152">
        <f t="shared" si="31"/>
        <v>17</v>
      </c>
      <c r="AL152">
        <f t="shared" si="32"/>
        <v>35.714285714285715</v>
      </c>
      <c r="AM152">
        <v>4</v>
      </c>
      <c r="AN152">
        <v>4</v>
      </c>
      <c r="AO152">
        <v>1</v>
      </c>
      <c r="AP152">
        <v>3</v>
      </c>
      <c r="AQ152">
        <v>1</v>
      </c>
      <c r="AR152">
        <v>1</v>
      </c>
      <c r="AS152" s="1">
        <v>1</v>
      </c>
      <c r="AT152" s="1">
        <f t="shared" si="33"/>
        <v>15</v>
      </c>
      <c r="AU152" s="1">
        <f t="shared" si="34"/>
        <v>28.571428571428569</v>
      </c>
    </row>
    <row r="153" spans="1:47">
      <c r="A153" t="s">
        <v>44</v>
      </c>
      <c r="B153">
        <v>3</v>
      </c>
      <c r="C153">
        <v>3</v>
      </c>
      <c r="D153">
        <v>5</v>
      </c>
      <c r="E153">
        <v>4</v>
      </c>
      <c r="F153">
        <v>2</v>
      </c>
      <c r="G153">
        <v>1</v>
      </c>
      <c r="H153">
        <v>2</v>
      </c>
      <c r="I153">
        <v>1</v>
      </c>
      <c r="J153">
        <f t="shared" si="35"/>
        <v>21</v>
      </c>
      <c r="K153">
        <f t="shared" si="26"/>
        <v>40.625</v>
      </c>
      <c r="L153">
        <v>4</v>
      </c>
      <c r="M153">
        <v>3</v>
      </c>
      <c r="N153">
        <v>5</v>
      </c>
      <c r="O153">
        <v>2</v>
      </c>
      <c r="P153">
        <v>2</v>
      </c>
      <c r="Q153">
        <v>2</v>
      </c>
      <c r="S153">
        <f t="shared" si="27"/>
        <v>18</v>
      </c>
      <c r="T153">
        <f t="shared" si="28"/>
        <v>39.285714285714285</v>
      </c>
      <c r="U153">
        <v>1</v>
      </c>
      <c r="V153">
        <v>1</v>
      </c>
      <c r="W153">
        <v>2</v>
      </c>
      <c r="X153">
        <v>2</v>
      </c>
      <c r="Y153">
        <v>5</v>
      </c>
      <c r="Z153">
        <v>4</v>
      </c>
      <c r="AA153">
        <v>3</v>
      </c>
      <c r="AB153">
        <f t="shared" si="29"/>
        <v>18</v>
      </c>
      <c r="AC153">
        <f t="shared" si="30"/>
        <v>39.285714285714285</v>
      </c>
      <c r="AD153">
        <v>4</v>
      </c>
      <c r="AE153">
        <v>4</v>
      </c>
      <c r="AF153">
        <v>4</v>
      </c>
      <c r="AG153">
        <v>4</v>
      </c>
      <c r="AH153">
        <v>3</v>
      </c>
      <c r="AI153">
        <v>4</v>
      </c>
      <c r="AJ153">
        <v>2</v>
      </c>
      <c r="AK153">
        <f t="shared" si="31"/>
        <v>25</v>
      </c>
      <c r="AL153">
        <f t="shared" si="32"/>
        <v>64.285714285714292</v>
      </c>
      <c r="AM153">
        <v>4</v>
      </c>
      <c r="AN153">
        <v>4</v>
      </c>
      <c r="AO153">
        <v>4</v>
      </c>
      <c r="AP153">
        <v>5</v>
      </c>
      <c r="AQ153">
        <v>3</v>
      </c>
      <c r="AR153">
        <v>3</v>
      </c>
      <c r="AS153" s="1">
        <v>3</v>
      </c>
      <c r="AT153" s="1">
        <f t="shared" si="33"/>
        <v>26</v>
      </c>
      <c r="AU153" s="1">
        <f t="shared" si="34"/>
        <v>67.857142857142861</v>
      </c>
    </row>
    <row r="154" spans="1:47">
      <c r="A154" t="s">
        <v>45</v>
      </c>
      <c r="B154">
        <v>1</v>
      </c>
      <c r="C154">
        <v>1</v>
      </c>
      <c r="D154">
        <v>1</v>
      </c>
      <c r="E154">
        <v>4</v>
      </c>
      <c r="F154">
        <v>1</v>
      </c>
      <c r="G154">
        <v>2</v>
      </c>
      <c r="H154">
        <v>2</v>
      </c>
      <c r="I154">
        <v>3</v>
      </c>
      <c r="J154">
        <f t="shared" si="35"/>
        <v>15</v>
      </c>
      <c r="K154">
        <f t="shared" si="26"/>
        <v>21.875</v>
      </c>
      <c r="L154">
        <v>4</v>
      </c>
      <c r="M154">
        <v>3</v>
      </c>
      <c r="N154">
        <v>2</v>
      </c>
      <c r="O154">
        <v>2</v>
      </c>
      <c r="P154">
        <v>2</v>
      </c>
      <c r="R154">
        <v>2</v>
      </c>
      <c r="S154">
        <f t="shared" si="27"/>
        <v>15</v>
      </c>
      <c r="T154">
        <f t="shared" si="28"/>
        <v>28.571428571428569</v>
      </c>
      <c r="U154">
        <v>2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  <c r="AB154">
        <f t="shared" si="29"/>
        <v>8</v>
      </c>
      <c r="AC154">
        <f t="shared" si="30"/>
        <v>3.5714285714285712</v>
      </c>
      <c r="AD154">
        <v>2</v>
      </c>
      <c r="AE154">
        <v>3</v>
      </c>
      <c r="AF154">
        <v>3</v>
      </c>
      <c r="AG154">
        <v>1</v>
      </c>
      <c r="AH154">
        <v>1</v>
      </c>
      <c r="AI154">
        <v>3</v>
      </c>
      <c r="AJ154">
        <v>1</v>
      </c>
      <c r="AK154">
        <f t="shared" si="31"/>
        <v>14</v>
      </c>
      <c r="AL154">
        <f t="shared" si="32"/>
        <v>25</v>
      </c>
      <c r="AM154">
        <v>2</v>
      </c>
      <c r="AN154">
        <v>1</v>
      </c>
      <c r="AO154">
        <v>1</v>
      </c>
      <c r="AP154">
        <v>1</v>
      </c>
      <c r="AQ154">
        <v>1</v>
      </c>
      <c r="AR154">
        <v>1</v>
      </c>
      <c r="AS154" s="1">
        <v>2</v>
      </c>
      <c r="AT154" s="1">
        <f t="shared" si="33"/>
        <v>9</v>
      </c>
      <c r="AU154" s="1">
        <f t="shared" si="34"/>
        <v>7.1428571428571423</v>
      </c>
    </row>
    <row r="155" spans="1:47">
      <c r="A155" t="s">
        <v>46</v>
      </c>
      <c r="B155">
        <v>1</v>
      </c>
      <c r="C155">
        <v>1</v>
      </c>
      <c r="D155">
        <v>2</v>
      </c>
      <c r="E155">
        <v>2</v>
      </c>
      <c r="F155">
        <v>2</v>
      </c>
      <c r="G155">
        <v>2</v>
      </c>
      <c r="H155">
        <v>3</v>
      </c>
      <c r="I155">
        <v>2</v>
      </c>
      <c r="J155">
        <f t="shared" si="35"/>
        <v>15</v>
      </c>
      <c r="K155">
        <f t="shared" si="26"/>
        <v>21.875</v>
      </c>
      <c r="L155">
        <v>4</v>
      </c>
      <c r="M155">
        <v>3</v>
      </c>
      <c r="N155">
        <v>2</v>
      </c>
      <c r="O155">
        <v>1</v>
      </c>
      <c r="P155">
        <v>2</v>
      </c>
      <c r="R155">
        <v>1</v>
      </c>
      <c r="S155">
        <f t="shared" si="27"/>
        <v>13</v>
      </c>
      <c r="T155">
        <f t="shared" si="28"/>
        <v>21.428571428571427</v>
      </c>
      <c r="U155">
        <v>1</v>
      </c>
      <c r="V155">
        <v>1</v>
      </c>
      <c r="W155">
        <v>1</v>
      </c>
      <c r="X155">
        <v>1</v>
      </c>
      <c r="Y155">
        <v>3</v>
      </c>
      <c r="Z155">
        <v>2</v>
      </c>
      <c r="AA155">
        <v>1</v>
      </c>
      <c r="AB155">
        <f t="shared" si="29"/>
        <v>10</v>
      </c>
      <c r="AC155">
        <f t="shared" si="30"/>
        <v>10.714285714285714</v>
      </c>
      <c r="AD155">
        <v>1</v>
      </c>
      <c r="AE155">
        <v>1</v>
      </c>
      <c r="AF155">
        <v>1</v>
      </c>
      <c r="AG155">
        <v>1</v>
      </c>
      <c r="AH155">
        <v>1</v>
      </c>
      <c r="AI155">
        <v>1</v>
      </c>
      <c r="AJ155">
        <v>1</v>
      </c>
      <c r="AK155">
        <f t="shared" si="31"/>
        <v>7</v>
      </c>
      <c r="AL155">
        <f t="shared" si="32"/>
        <v>0</v>
      </c>
      <c r="AM155">
        <v>3</v>
      </c>
      <c r="AN155">
        <v>3</v>
      </c>
      <c r="AO155">
        <v>1</v>
      </c>
      <c r="AP155">
        <v>3</v>
      </c>
      <c r="AQ155">
        <v>3</v>
      </c>
      <c r="AR155">
        <v>1</v>
      </c>
      <c r="AS155" s="1">
        <v>3</v>
      </c>
      <c r="AT155" s="1">
        <f t="shared" si="33"/>
        <v>17</v>
      </c>
      <c r="AU155" s="1">
        <f t="shared" si="34"/>
        <v>35.714285714285715</v>
      </c>
    </row>
    <row r="156" spans="1:47">
      <c r="A156" t="s">
        <v>47</v>
      </c>
      <c r="B156">
        <v>1</v>
      </c>
      <c r="C156">
        <v>2</v>
      </c>
      <c r="D156">
        <v>5</v>
      </c>
      <c r="E156">
        <v>3</v>
      </c>
      <c r="F156">
        <v>1</v>
      </c>
      <c r="G156">
        <v>1</v>
      </c>
      <c r="H156">
        <v>1</v>
      </c>
      <c r="I156">
        <v>4</v>
      </c>
      <c r="J156">
        <f t="shared" si="35"/>
        <v>18</v>
      </c>
      <c r="K156">
        <f t="shared" si="26"/>
        <v>31.25</v>
      </c>
      <c r="L156">
        <v>3</v>
      </c>
      <c r="M156">
        <v>4</v>
      </c>
      <c r="N156">
        <v>2</v>
      </c>
      <c r="O156">
        <v>4</v>
      </c>
      <c r="P156">
        <v>1</v>
      </c>
      <c r="Q156">
        <v>1</v>
      </c>
      <c r="S156">
        <f t="shared" si="27"/>
        <v>15</v>
      </c>
      <c r="T156">
        <f t="shared" si="28"/>
        <v>28.571428571428569</v>
      </c>
      <c r="U156">
        <v>1</v>
      </c>
      <c r="V156">
        <v>1</v>
      </c>
      <c r="W156">
        <v>1</v>
      </c>
      <c r="X156">
        <v>4</v>
      </c>
      <c r="Y156">
        <v>5</v>
      </c>
      <c r="Z156">
        <v>3</v>
      </c>
      <c r="AA156">
        <v>1</v>
      </c>
      <c r="AB156">
        <f t="shared" si="29"/>
        <v>16</v>
      </c>
      <c r="AC156">
        <f t="shared" si="30"/>
        <v>32.142857142857146</v>
      </c>
      <c r="AD156">
        <v>1</v>
      </c>
      <c r="AE156">
        <v>1</v>
      </c>
      <c r="AF156">
        <v>1</v>
      </c>
      <c r="AG156">
        <v>5</v>
      </c>
      <c r="AH156">
        <v>1</v>
      </c>
      <c r="AI156">
        <v>1</v>
      </c>
      <c r="AJ156">
        <v>1</v>
      </c>
      <c r="AK156">
        <f t="shared" si="31"/>
        <v>11</v>
      </c>
      <c r="AL156">
        <f t="shared" si="32"/>
        <v>14.285714285714285</v>
      </c>
      <c r="AM156">
        <v>5</v>
      </c>
      <c r="AN156">
        <v>5</v>
      </c>
      <c r="AO156">
        <v>2</v>
      </c>
      <c r="AP156">
        <v>5</v>
      </c>
      <c r="AQ156">
        <v>1</v>
      </c>
      <c r="AR156">
        <v>1</v>
      </c>
      <c r="AS156" s="1">
        <v>2</v>
      </c>
      <c r="AT156" s="1">
        <f t="shared" si="33"/>
        <v>21</v>
      </c>
      <c r="AU156" s="1">
        <f t="shared" si="34"/>
        <v>50</v>
      </c>
    </row>
    <row r="157" spans="1:47">
      <c r="A157" t="s">
        <v>48</v>
      </c>
      <c r="B157">
        <v>1</v>
      </c>
      <c r="C157">
        <v>2</v>
      </c>
      <c r="D157">
        <v>3</v>
      </c>
      <c r="E157">
        <v>3</v>
      </c>
      <c r="F157">
        <v>2</v>
      </c>
      <c r="G157">
        <v>1</v>
      </c>
      <c r="H157">
        <v>1</v>
      </c>
      <c r="I157">
        <v>1</v>
      </c>
      <c r="J157">
        <f t="shared" si="35"/>
        <v>14</v>
      </c>
      <c r="K157">
        <f t="shared" si="26"/>
        <v>18.75</v>
      </c>
      <c r="L157">
        <v>3</v>
      </c>
      <c r="M157">
        <v>2</v>
      </c>
      <c r="N157">
        <v>1</v>
      </c>
      <c r="O157">
        <v>1</v>
      </c>
      <c r="P157">
        <v>1</v>
      </c>
      <c r="R157">
        <v>1</v>
      </c>
      <c r="S157">
        <f t="shared" si="27"/>
        <v>9</v>
      </c>
      <c r="T157">
        <f t="shared" si="28"/>
        <v>7.1428571428571423</v>
      </c>
      <c r="U157">
        <v>1</v>
      </c>
      <c r="V157">
        <v>2</v>
      </c>
      <c r="W157">
        <v>1</v>
      </c>
      <c r="X157">
        <v>1</v>
      </c>
      <c r="Y157">
        <v>3</v>
      </c>
      <c r="Z157">
        <v>3</v>
      </c>
      <c r="AA157">
        <v>3</v>
      </c>
      <c r="AB157">
        <f t="shared" si="29"/>
        <v>14</v>
      </c>
      <c r="AC157">
        <f t="shared" si="30"/>
        <v>25</v>
      </c>
      <c r="AD157">
        <v>3</v>
      </c>
      <c r="AE157">
        <v>3</v>
      </c>
      <c r="AF157">
        <v>2</v>
      </c>
      <c r="AG157">
        <v>2</v>
      </c>
      <c r="AH157">
        <v>1</v>
      </c>
      <c r="AI157">
        <v>1</v>
      </c>
      <c r="AJ157">
        <v>1</v>
      </c>
      <c r="AK157">
        <f t="shared" si="31"/>
        <v>13</v>
      </c>
      <c r="AL157">
        <f t="shared" si="32"/>
        <v>21.428571428571427</v>
      </c>
      <c r="AM157">
        <v>3</v>
      </c>
      <c r="AN157">
        <v>1</v>
      </c>
      <c r="AO157">
        <v>1</v>
      </c>
      <c r="AP157">
        <v>2</v>
      </c>
      <c r="AQ157">
        <v>1</v>
      </c>
      <c r="AR157">
        <v>1</v>
      </c>
      <c r="AS157" s="1">
        <v>1</v>
      </c>
      <c r="AT157" s="1">
        <f t="shared" si="33"/>
        <v>10</v>
      </c>
      <c r="AU157" s="1">
        <f t="shared" si="34"/>
        <v>10.714285714285714</v>
      </c>
    </row>
    <row r="158" spans="1:47">
      <c r="A158" t="s">
        <v>49</v>
      </c>
      <c r="B158">
        <v>2</v>
      </c>
      <c r="C158">
        <v>3</v>
      </c>
      <c r="D158">
        <v>2</v>
      </c>
      <c r="E158">
        <v>2</v>
      </c>
      <c r="F158">
        <v>2</v>
      </c>
      <c r="G158">
        <v>1</v>
      </c>
      <c r="H158">
        <v>2</v>
      </c>
      <c r="I158">
        <v>1</v>
      </c>
      <c r="J158">
        <f t="shared" si="35"/>
        <v>15</v>
      </c>
      <c r="K158">
        <f t="shared" si="26"/>
        <v>21.875</v>
      </c>
      <c r="L158">
        <v>3</v>
      </c>
      <c r="M158">
        <v>3</v>
      </c>
      <c r="N158">
        <v>2</v>
      </c>
      <c r="O158">
        <v>2</v>
      </c>
      <c r="P158">
        <v>1</v>
      </c>
      <c r="R158">
        <v>1</v>
      </c>
      <c r="S158">
        <f t="shared" si="27"/>
        <v>12</v>
      </c>
      <c r="T158">
        <f t="shared" si="28"/>
        <v>17.857142857142858</v>
      </c>
      <c r="U158">
        <v>1</v>
      </c>
      <c r="V158">
        <v>1</v>
      </c>
      <c r="W158">
        <v>2</v>
      </c>
      <c r="X158">
        <v>1</v>
      </c>
      <c r="Y158">
        <v>1</v>
      </c>
      <c r="Z158">
        <v>2</v>
      </c>
      <c r="AA158">
        <v>1</v>
      </c>
      <c r="AB158">
        <f t="shared" si="29"/>
        <v>9</v>
      </c>
      <c r="AC158">
        <f t="shared" si="30"/>
        <v>7.1428571428571423</v>
      </c>
      <c r="AD158">
        <v>3</v>
      </c>
      <c r="AE158">
        <v>3</v>
      </c>
      <c r="AF158">
        <v>2</v>
      </c>
      <c r="AG158">
        <v>2</v>
      </c>
      <c r="AH158">
        <v>1</v>
      </c>
      <c r="AI158">
        <v>3</v>
      </c>
      <c r="AJ158">
        <v>2</v>
      </c>
      <c r="AK158">
        <f t="shared" si="31"/>
        <v>16</v>
      </c>
      <c r="AL158">
        <f t="shared" si="32"/>
        <v>32.142857142857146</v>
      </c>
      <c r="AM158">
        <v>2</v>
      </c>
      <c r="AN158">
        <v>2</v>
      </c>
      <c r="AO158">
        <v>3</v>
      </c>
      <c r="AP158">
        <v>1</v>
      </c>
      <c r="AQ158">
        <v>1</v>
      </c>
      <c r="AR158">
        <v>1</v>
      </c>
      <c r="AS158" s="1">
        <v>1</v>
      </c>
      <c r="AT158" s="1">
        <f t="shared" si="33"/>
        <v>11</v>
      </c>
      <c r="AU158" s="1">
        <f t="shared" si="34"/>
        <v>14.285714285714285</v>
      </c>
    </row>
    <row r="159" spans="1:47">
      <c r="A159" t="s">
        <v>50</v>
      </c>
      <c r="B159">
        <v>1</v>
      </c>
      <c r="C159">
        <v>1</v>
      </c>
      <c r="D159">
        <v>1</v>
      </c>
      <c r="E159">
        <v>2</v>
      </c>
      <c r="F159">
        <v>1</v>
      </c>
      <c r="G159">
        <v>1</v>
      </c>
      <c r="H159">
        <v>1</v>
      </c>
      <c r="I159">
        <v>1</v>
      </c>
      <c r="J159">
        <f t="shared" si="35"/>
        <v>9</v>
      </c>
      <c r="K159">
        <f t="shared" si="26"/>
        <v>3.125</v>
      </c>
      <c r="L159">
        <v>2</v>
      </c>
      <c r="M159">
        <v>2</v>
      </c>
      <c r="N159">
        <v>1</v>
      </c>
      <c r="O159">
        <v>1</v>
      </c>
      <c r="P159">
        <v>1</v>
      </c>
      <c r="R159">
        <v>1</v>
      </c>
      <c r="S159">
        <f t="shared" si="27"/>
        <v>8</v>
      </c>
      <c r="T159">
        <f t="shared" si="28"/>
        <v>3.5714285714285712</v>
      </c>
      <c r="U159">
        <v>1</v>
      </c>
      <c r="V159">
        <v>1</v>
      </c>
      <c r="W159">
        <v>1</v>
      </c>
      <c r="X159">
        <v>1</v>
      </c>
      <c r="Y159">
        <v>3</v>
      </c>
      <c r="Z159">
        <v>2</v>
      </c>
      <c r="AA159">
        <v>1</v>
      </c>
      <c r="AB159">
        <f t="shared" si="29"/>
        <v>10</v>
      </c>
      <c r="AC159">
        <f t="shared" si="30"/>
        <v>10.714285714285714</v>
      </c>
      <c r="AD159">
        <v>2</v>
      </c>
      <c r="AE159">
        <v>2</v>
      </c>
      <c r="AF159">
        <v>1</v>
      </c>
      <c r="AG159">
        <v>1</v>
      </c>
      <c r="AH159">
        <v>1</v>
      </c>
      <c r="AI159">
        <v>1</v>
      </c>
      <c r="AJ159">
        <v>1</v>
      </c>
      <c r="AK159">
        <f t="shared" si="31"/>
        <v>9</v>
      </c>
      <c r="AL159">
        <f t="shared" si="32"/>
        <v>7.1428571428571423</v>
      </c>
      <c r="AM159">
        <v>3</v>
      </c>
      <c r="AN159">
        <v>2</v>
      </c>
      <c r="AO159">
        <v>2</v>
      </c>
      <c r="AP159">
        <v>2</v>
      </c>
      <c r="AQ159">
        <v>1</v>
      </c>
      <c r="AR159">
        <v>1</v>
      </c>
      <c r="AS159" s="1">
        <v>1</v>
      </c>
      <c r="AT159" s="1">
        <f t="shared" si="33"/>
        <v>12</v>
      </c>
      <c r="AU159" s="1">
        <f t="shared" si="34"/>
        <v>17.857142857142858</v>
      </c>
    </row>
    <row r="160" spans="1:47">
      <c r="A160" t="s">
        <v>51</v>
      </c>
      <c r="B160">
        <v>1</v>
      </c>
      <c r="C160">
        <v>2</v>
      </c>
      <c r="D160">
        <v>2</v>
      </c>
      <c r="E160">
        <v>2</v>
      </c>
      <c r="F160">
        <v>2</v>
      </c>
      <c r="G160">
        <v>1</v>
      </c>
      <c r="H160">
        <v>3</v>
      </c>
      <c r="I160">
        <v>1</v>
      </c>
      <c r="J160">
        <f t="shared" si="35"/>
        <v>14</v>
      </c>
      <c r="K160">
        <f t="shared" si="26"/>
        <v>18.75</v>
      </c>
      <c r="L160">
        <v>2</v>
      </c>
      <c r="M160">
        <v>2</v>
      </c>
      <c r="N160">
        <v>2</v>
      </c>
      <c r="O160">
        <v>1</v>
      </c>
      <c r="P160">
        <v>1</v>
      </c>
      <c r="R160">
        <v>1</v>
      </c>
      <c r="S160">
        <f t="shared" si="27"/>
        <v>9</v>
      </c>
      <c r="T160">
        <f t="shared" si="28"/>
        <v>7.1428571428571423</v>
      </c>
      <c r="U160">
        <v>1</v>
      </c>
      <c r="V160">
        <v>1</v>
      </c>
      <c r="W160">
        <v>2</v>
      </c>
      <c r="X160">
        <v>1</v>
      </c>
      <c r="Y160">
        <v>2</v>
      </c>
      <c r="Z160">
        <v>2</v>
      </c>
      <c r="AA160">
        <v>2</v>
      </c>
      <c r="AB160">
        <f t="shared" si="29"/>
        <v>11</v>
      </c>
      <c r="AC160">
        <f t="shared" si="30"/>
        <v>14.285714285714285</v>
      </c>
      <c r="AD160">
        <v>2</v>
      </c>
      <c r="AE160">
        <v>1</v>
      </c>
      <c r="AF160">
        <v>2</v>
      </c>
      <c r="AG160">
        <v>1</v>
      </c>
      <c r="AH160">
        <v>1</v>
      </c>
      <c r="AI160">
        <v>2</v>
      </c>
      <c r="AJ160">
        <v>3</v>
      </c>
      <c r="AK160">
        <f t="shared" si="31"/>
        <v>12</v>
      </c>
      <c r="AL160">
        <f t="shared" si="32"/>
        <v>17.857142857142858</v>
      </c>
      <c r="AM160">
        <v>2</v>
      </c>
      <c r="AN160">
        <v>2</v>
      </c>
      <c r="AO160">
        <v>4</v>
      </c>
      <c r="AP160">
        <v>3</v>
      </c>
      <c r="AQ160">
        <v>3</v>
      </c>
      <c r="AR160">
        <v>2</v>
      </c>
      <c r="AS160" s="1">
        <v>2</v>
      </c>
      <c r="AT160" s="1">
        <f t="shared" si="33"/>
        <v>18</v>
      </c>
      <c r="AU160" s="1">
        <f t="shared" si="34"/>
        <v>39.285714285714285</v>
      </c>
    </row>
    <row r="161" spans="1:47">
      <c r="A161" t="s">
        <v>52</v>
      </c>
      <c r="B161">
        <v>2</v>
      </c>
      <c r="C161">
        <v>3</v>
      </c>
      <c r="D161">
        <v>3</v>
      </c>
      <c r="E161">
        <v>2</v>
      </c>
      <c r="F161">
        <v>1</v>
      </c>
      <c r="G161">
        <v>2</v>
      </c>
      <c r="H161">
        <v>1</v>
      </c>
      <c r="I161">
        <v>1</v>
      </c>
      <c r="J161">
        <f t="shared" si="35"/>
        <v>15</v>
      </c>
      <c r="K161">
        <f t="shared" si="26"/>
        <v>21.875</v>
      </c>
      <c r="L161">
        <v>2</v>
      </c>
      <c r="M161">
        <v>3</v>
      </c>
      <c r="N161">
        <v>2</v>
      </c>
      <c r="O161">
        <v>1</v>
      </c>
      <c r="P161">
        <v>1</v>
      </c>
      <c r="R161">
        <v>1</v>
      </c>
      <c r="S161">
        <f t="shared" si="27"/>
        <v>10</v>
      </c>
      <c r="T161">
        <f t="shared" si="28"/>
        <v>10.714285714285714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3</v>
      </c>
      <c r="AA161">
        <v>1</v>
      </c>
      <c r="AB161">
        <f t="shared" si="29"/>
        <v>9</v>
      </c>
      <c r="AC161">
        <f t="shared" si="30"/>
        <v>7.1428571428571423</v>
      </c>
      <c r="AD161">
        <v>3</v>
      </c>
      <c r="AE161">
        <v>4</v>
      </c>
      <c r="AF161">
        <v>4</v>
      </c>
      <c r="AG161">
        <v>3</v>
      </c>
      <c r="AH161">
        <v>2</v>
      </c>
      <c r="AI161">
        <v>3</v>
      </c>
      <c r="AJ161">
        <v>2</v>
      </c>
      <c r="AK161">
        <f t="shared" si="31"/>
        <v>21</v>
      </c>
      <c r="AL161">
        <f t="shared" si="32"/>
        <v>50</v>
      </c>
      <c r="AM161">
        <v>1</v>
      </c>
      <c r="AN161">
        <v>1</v>
      </c>
      <c r="AO161">
        <v>1</v>
      </c>
      <c r="AP161">
        <v>1</v>
      </c>
      <c r="AQ161">
        <v>1</v>
      </c>
      <c r="AR161">
        <v>1</v>
      </c>
      <c r="AS161" s="1">
        <v>1</v>
      </c>
      <c r="AT161" s="1">
        <f t="shared" si="33"/>
        <v>7</v>
      </c>
      <c r="AU161" s="1">
        <f t="shared" si="34"/>
        <v>0</v>
      </c>
    </row>
    <row r="162" spans="1:47">
      <c r="A162" t="s">
        <v>53</v>
      </c>
      <c r="B162">
        <v>1</v>
      </c>
      <c r="C162">
        <v>1</v>
      </c>
      <c r="D162">
        <v>1</v>
      </c>
      <c r="E162">
        <v>2</v>
      </c>
      <c r="F162">
        <v>1</v>
      </c>
      <c r="G162">
        <v>1</v>
      </c>
      <c r="H162">
        <v>2</v>
      </c>
      <c r="I162">
        <v>1</v>
      </c>
      <c r="J162">
        <f t="shared" si="35"/>
        <v>10</v>
      </c>
      <c r="K162">
        <f t="shared" si="26"/>
        <v>6.25</v>
      </c>
      <c r="L162">
        <v>2</v>
      </c>
      <c r="M162">
        <v>2</v>
      </c>
      <c r="N162">
        <v>1</v>
      </c>
      <c r="O162">
        <v>1</v>
      </c>
      <c r="P162">
        <v>1</v>
      </c>
      <c r="R162">
        <v>1</v>
      </c>
      <c r="S162">
        <f t="shared" si="27"/>
        <v>8</v>
      </c>
      <c r="T162">
        <f t="shared" si="28"/>
        <v>3.5714285714285712</v>
      </c>
      <c r="U162">
        <v>1</v>
      </c>
      <c r="V162">
        <v>1</v>
      </c>
      <c r="W162">
        <v>1</v>
      </c>
      <c r="X162">
        <v>1</v>
      </c>
      <c r="Y162">
        <v>2</v>
      </c>
      <c r="Z162">
        <v>1</v>
      </c>
      <c r="AA162">
        <v>1</v>
      </c>
      <c r="AB162">
        <f t="shared" si="29"/>
        <v>8</v>
      </c>
      <c r="AC162">
        <f t="shared" si="30"/>
        <v>3.5714285714285712</v>
      </c>
      <c r="AD162">
        <v>1</v>
      </c>
      <c r="AE162">
        <v>1</v>
      </c>
      <c r="AF162">
        <v>1</v>
      </c>
      <c r="AG162">
        <v>1</v>
      </c>
      <c r="AH162">
        <v>1</v>
      </c>
      <c r="AI162">
        <v>1</v>
      </c>
      <c r="AJ162">
        <v>1</v>
      </c>
      <c r="AK162">
        <f t="shared" si="31"/>
        <v>7</v>
      </c>
      <c r="AL162">
        <f t="shared" si="32"/>
        <v>0</v>
      </c>
      <c r="AM162">
        <v>2</v>
      </c>
      <c r="AN162">
        <v>2</v>
      </c>
      <c r="AO162">
        <v>2</v>
      </c>
      <c r="AP162">
        <v>1</v>
      </c>
      <c r="AQ162">
        <v>1</v>
      </c>
      <c r="AR162">
        <v>1</v>
      </c>
      <c r="AS162" s="1">
        <v>1</v>
      </c>
      <c r="AT162" s="1">
        <f t="shared" si="33"/>
        <v>10</v>
      </c>
      <c r="AU162" s="1">
        <f t="shared" si="34"/>
        <v>10.714285714285714</v>
      </c>
    </row>
    <row r="163" spans="1:47">
      <c r="A163" t="s">
        <v>54</v>
      </c>
      <c r="B163">
        <v>1</v>
      </c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2</v>
      </c>
      <c r="J163">
        <f t="shared" si="35"/>
        <v>9</v>
      </c>
      <c r="K163">
        <f t="shared" si="26"/>
        <v>3.125</v>
      </c>
      <c r="L163">
        <v>2</v>
      </c>
      <c r="M163">
        <v>2</v>
      </c>
      <c r="N163">
        <v>2</v>
      </c>
      <c r="O163">
        <v>1</v>
      </c>
      <c r="P163">
        <v>1</v>
      </c>
      <c r="R163">
        <v>2</v>
      </c>
      <c r="S163">
        <f t="shared" si="27"/>
        <v>10</v>
      </c>
      <c r="T163">
        <f t="shared" si="28"/>
        <v>10.714285714285714</v>
      </c>
      <c r="U163">
        <v>1</v>
      </c>
      <c r="V163">
        <v>1</v>
      </c>
      <c r="W163">
        <v>1</v>
      </c>
      <c r="X163">
        <v>1</v>
      </c>
      <c r="Y163">
        <v>3</v>
      </c>
      <c r="Z163">
        <v>3</v>
      </c>
      <c r="AA163">
        <v>2</v>
      </c>
      <c r="AB163">
        <f t="shared" si="29"/>
        <v>12</v>
      </c>
      <c r="AC163">
        <f t="shared" si="30"/>
        <v>17.857142857142858</v>
      </c>
      <c r="AD163">
        <v>3</v>
      </c>
      <c r="AE163">
        <v>2</v>
      </c>
      <c r="AF163">
        <v>1</v>
      </c>
      <c r="AG163">
        <v>1</v>
      </c>
      <c r="AH163">
        <v>1</v>
      </c>
      <c r="AI163">
        <v>4</v>
      </c>
      <c r="AJ163">
        <v>1</v>
      </c>
      <c r="AK163">
        <f t="shared" si="31"/>
        <v>13</v>
      </c>
      <c r="AL163">
        <f t="shared" si="32"/>
        <v>21.428571428571427</v>
      </c>
      <c r="AM163">
        <v>1</v>
      </c>
      <c r="AN163">
        <v>2</v>
      </c>
      <c r="AO163">
        <v>2</v>
      </c>
      <c r="AP163">
        <v>2</v>
      </c>
      <c r="AQ163">
        <v>1</v>
      </c>
      <c r="AR163">
        <v>1</v>
      </c>
      <c r="AS163" s="1">
        <v>3</v>
      </c>
      <c r="AT163" s="1">
        <f t="shared" si="33"/>
        <v>12</v>
      </c>
      <c r="AU163" s="1">
        <f t="shared" si="34"/>
        <v>17.857142857142858</v>
      </c>
    </row>
    <row r="164" spans="1:47">
      <c r="A164" t="s">
        <v>55</v>
      </c>
      <c r="B164">
        <v>2</v>
      </c>
      <c r="C164">
        <v>2</v>
      </c>
      <c r="D164">
        <v>2</v>
      </c>
      <c r="E164">
        <v>3</v>
      </c>
      <c r="F164">
        <v>1</v>
      </c>
      <c r="G164">
        <v>2</v>
      </c>
      <c r="H164">
        <v>2</v>
      </c>
      <c r="I164">
        <v>2</v>
      </c>
      <c r="J164">
        <f t="shared" si="35"/>
        <v>16</v>
      </c>
      <c r="K164">
        <f t="shared" si="26"/>
        <v>25</v>
      </c>
      <c r="L164">
        <v>4</v>
      </c>
      <c r="M164">
        <v>1</v>
      </c>
      <c r="N164">
        <v>1</v>
      </c>
      <c r="O164">
        <v>2</v>
      </c>
      <c r="P164">
        <v>2</v>
      </c>
      <c r="R164">
        <v>1</v>
      </c>
      <c r="S164">
        <f t="shared" si="27"/>
        <v>11</v>
      </c>
      <c r="T164">
        <f t="shared" si="28"/>
        <v>14.285714285714285</v>
      </c>
      <c r="U164">
        <v>1</v>
      </c>
      <c r="V164">
        <v>1</v>
      </c>
      <c r="W164">
        <v>2</v>
      </c>
      <c r="X164">
        <v>1</v>
      </c>
      <c r="Y164">
        <v>3</v>
      </c>
      <c r="Z164">
        <v>3</v>
      </c>
      <c r="AA164">
        <v>2</v>
      </c>
      <c r="AB164">
        <f t="shared" si="29"/>
        <v>13</v>
      </c>
      <c r="AC164">
        <f t="shared" si="30"/>
        <v>21.428571428571427</v>
      </c>
      <c r="AD164">
        <v>4</v>
      </c>
      <c r="AE164">
        <v>4</v>
      </c>
      <c r="AF164">
        <v>4</v>
      </c>
      <c r="AG164">
        <v>3</v>
      </c>
      <c r="AH164">
        <v>2</v>
      </c>
      <c r="AI164">
        <v>4</v>
      </c>
      <c r="AJ164">
        <v>1</v>
      </c>
      <c r="AK164">
        <f t="shared" si="31"/>
        <v>22</v>
      </c>
      <c r="AL164">
        <f t="shared" si="32"/>
        <v>53.571428571428569</v>
      </c>
      <c r="AM164">
        <v>2</v>
      </c>
      <c r="AN164">
        <v>2</v>
      </c>
      <c r="AO164">
        <v>3</v>
      </c>
      <c r="AP164">
        <v>2</v>
      </c>
      <c r="AQ164">
        <v>1</v>
      </c>
      <c r="AR164">
        <v>1</v>
      </c>
      <c r="AS164" s="1">
        <v>2</v>
      </c>
      <c r="AT164" s="1">
        <f t="shared" si="33"/>
        <v>13</v>
      </c>
      <c r="AU164" s="1">
        <f t="shared" si="34"/>
        <v>21.428571428571427</v>
      </c>
    </row>
    <row r="165" spans="1:47">
      <c r="A165" t="s">
        <v>56</v>
      </c>
      <c r="B165">
        <v>1</v>
      </c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f t="shared" si="35"/>
        <v>8</v>
      </c>
      <c r="K165">
        <f t="shared" si="26"/>
        <v>0</v>
      </c>
      <c r="L165">
        <v>1</v>
      </c>
      <c r="M165">
        <v>1</v>
      </c>
      <c r="N165">
        <v>1</v>
      </c>
      <c r="O165">
        <v>1</v>
      </c>
      <c r="P165">
        <v>1</v>
      </c>
      <c r="R165">
        <v>1</v>
      </c>
      <c r="S165">
        <f t="shared" si="27"/>
        <v>6</v>
      </c>
      <c r="T165">
        <f t="shared" si="28"/>
        <v>-3.5714285714285712</v>
      </c>
      <c r="U165">
        <v>1</v>
      </c>
      <c r="V165">
        <v>1</v>
      </c>
      <c r="W165">
        <v>1</v>
      </c>
      <c r="X165">
        <v>1</v>
      </c>
      <c r="Y165">
        <v>2</v>
      </c>
      <c r="Z165">
        <v>1</v>
      </c>
      <c r="AA165">
        <v>1</v>
      </c>
      <c r="AB165">
        <f t="shared" si="29"/>
        <v>8</v>
      </c>
      <c r="AC165">
        <f t="shared" si="30"/>
        <v>3.5714285714285712</v>
      </c>
      <c r="AD165">
        <v>1</v>
      </c>
      <c r="AE165">
        <v>1</v>
      </c>
      <c r="AF165">
        <v>1</v>
      </c>
      <c r="AG165">
        <v>1</v>
      </c>
      <c r="AH165">
        <v>1</v>
      </c>
      <c r="AI165">
        <v>1</v>
      </c>
      <c r="AJ165">
        <v>1</v>
      </c>
      <c r="AK165">
        <f t="shared" si="31"/>
        <v>7</v>
      </c>
      <c r="AL165">
        <f t="shared" si="32"/>
        <v>0</v>
      </c>
      <c r="AM165">
        <v>1</v>
      </c>
      <c r="AN165">
        <v>1</v>
      </c>
      <c r="AO165">
        <v>1</v>
      </c>
      <c r="AP165">
        <v>1</v>
      </c>
      <c r="AQ165">
        <v>1</v>
      </c>
      <c r="AR165">
        <v>1</v>
      </c>
      <c r="AS165" s="1">
        <v>1</v>
      </c>
      <c r="AT165" s="1">
        <f t="shared" si="33"/>
        <v>7</v>
      </c>
      <c r="AU165" s="1">
        <f t="shared" si="34"/>
        <v>0</v>
      </c>
    </row>
    <row r="166" spans="1:47">
      <c r="A166" t="s">
        <v>57</v>
      </c>
      <c r="B166">
        <v>1</v>
      </c>
      <c r="C166">
        <v>1</v>
      </c>
      <c r="D166">
        <v>1</v>
      </c>
      <c r="E166">
        <v>2</v>
      </c>
      <c r="F166">
        <v>3</v>
      </c>
      <c r="G166">
        <v>1</v>
      </c>
      <c r="H166">
        <v>1</v>
      </c>
      <c r="I166">
        <v>1</v>
      </c>
      <c r="J166">
        <f t="shared" si="35"/>
        <v>11</v>
      </c>
      <c r="K166">
        <f t="shared" si="26"/>
        <v>9.375</v>
      </c>
      <c r="L166">
        <v>2</v>
      </c>
      <c r="M166">
        <v>2</v>
      </c>
      <c r="N166">
        <v>1</v>
      </c>
      <c r="O166">
        <v>1</v>
      </c>
      <c r="P166">
        <v>1</v>
      </c>
      <c r="Q166">
        <v>1</v>
      </c>
      <c r="S166">
        <f t="shared" si="27"/>
        <v>8</v>
      </c>
      <c r="T166">
        <f t="shared" si="28"/>
        <v>3.5714285714285712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  <c r="AB166">
        <f t="shared" si="29"/>
        <v>7</v>
      </c>
      <c r="AC166">
        <f t="shared" si="30"/>
        <v>0</v>
      </c>
      <c r="AD166">
        <v>1</v>
      </c>
      <c r="AE166">
        <v>1</v>
      </c>
      <c r="AF166">
        <v>2</v>
      </c>
      <c r="AG166">
        <v>1</v>
      </c>
      <c r="AH166">
        <v>1</v>
      </c>
      <c r="AI166">
        <v>1</v>
      </c>
      <c r="AJ166">
        <v>1</v>
      </c>
      <c r="AK166">
        <f t="shared" si="31"/>
        <v>8</v>
      </c>
      <c r="AL166">
        <f t="shared" si="32"/>
        <v>3.5714285714285712</v>
      </c>
      <c r="AM166">
        <v>2</v>
      </c>
      <c r="AN166">
        <v>1</v>
      </c>
      <c r="AO166">
        <v>1</v>
      </c>
      <c r="AP166">
        <v>1</v>
      </c>
      <c r="AQ166">
        <v>1</v>
      </c>
      <c r="AR166">
        <v>1</v>
      </c>
      <c r="AS166" s="1">
        <v>2</v>
      </c>
      <c r="AT166" s="1">
        <f t="shared" si="33"/>
        <v>9</v>
      </c>
      <c r="AU166" s="1">
        <f t="shared" si="34"/>
        <v>7.1428571428571423</v>
      </c>
    </row>
    <row r="167" spans="1:47">
      <c r="A167" t="s">
        <v>58</v>
      </c>
      <c r="B167">
        <v>2</v>
      </c>
      <c r="C167">
        <v>2</v>
      </c>
      <c r="D167">
        <v>2</v>
      </c>
      <c r="E167">
        <v>3</v>
      </c>
      <c r="F167">
        <v>2</v>
      </c>
      <c r="G167">
        <v>1</v>
      </c>
      <c r="H167">
        <v>1</v>
      </c>
      <c r="I167">
        <v>1</v>
      </c>
      <c r="J167">
        <f t="shared" si="35"/>
        <v>14</v>
      </c>
      <c r="K167">
        <f t="shared" si="26"/>
        <v>18.75</v>
      </c>
      <c r="L167">
        <v>3</v>
      </c>
      <c r="M167">
        <v>1</v>
      </c>
      <c r="N167">
        <v>2</v>
      </c>
      <c r="O167">
        <v>2</v>
      </c>
      <c r="P167">
        <v>1</v>
      </c>
      <c r="Q167">
        <v>1</v>
      </c>
      <c r="S167">
        <f t="shared" si="27"/>
        <v>10</v>
      </c>
      <c r="T167">
        <f t="shared" si="28"/>
        <v>10.714285714285714</v>
      </c>
      <c r="U167">
        <v>2</v>
      </c>
      <c r="V167">
        <v>2</v>
      </c>
      <c r="W167">
        <v>1</v>
      </c>
      <c r="X167">
        <v>1</v>
      </c>
      <c r="Y167">
        <v>4</v>
      </c>
      <c r="Z167">
        <v>3</v>
      </c>
      <c r="AA167">
        <v>2</v>
      </c>
      <c r="AB167">
        <f t="shared" si="29"/>
        <v>15</v>
      </c>
      <c r="AC167">
        <f t="shared" si="30"/>
        <v>28.571428571428569</v>
      </c>
      <c r="AD167">
        <v>2</v>
      </c>
      <c r="AE167">
        <v>2</v>
      </c>
      <c r="AF167">
        <v>3</v>
      </c>
      <c r="AG167">
        <v>1</v>
      </c>
      <c r="AH167">
        <v>1</v>
      </c>
      <c r="AI167">
        <v>1</v>
      </c>
      <c r="AJ167">
        <v>1</v>
      </c>
      <c r="AK167">
        <f t="shared" si="31"/>
        <v>11</v>
      </c>
      <c r="AL167">
        <f t="shared" si="32"/>
        <v>14.285714285714285</v>
      </c>
      <c r="AM167">
        <v>2</v>
      </c>
      <c r="AN167">
        <v>2</v>
      </c>
      <c r="AO167">
        <v>2</v>
      </c>
      <c r="AP167">
        <v>2</v>
      </c>
      <c r="AQ167">
        <v>2</v>
      </c>
      <c r="AR167">
        <v>2</v>
      </c>
      <c r="AS167" s="1">
        <v>3</v>
      </c>
      <c r="AT167" s="1">
        <f t="shared" si="33"/>
        <v>15</v>
      </c>
      <c r="AU167" s="1">
        <f t="shared" si="34"/>
        <v>28.571428571428569</v>
      </c>
    </row>
    <row r="168" spans="1:47">
      <c r="A168" t="s">
        <v>59</v>
      </c>
      <c r="B168">
        <v>1</v>
      </c>
      <c r="C168">
        <v>2</v>
      </c>
      <c r="D168">
        <v>3</v>
      </c>
      <c r="E168">
        <v>5</v>
      </c>
      <c r="F168">
        <v>1</v>
      </c>
      <c r="G168">
        <v>2</v>
      </c>
      <c r="H168">
        <v>2</v>
      </c>
      <c r="I168">
        <v>3</v>
      </c>
      <c r="J168">
        <f t="shared" si="35"/>
        <v>19</v>
      </c>
      <c r="K168">
        <f t="shared" si="26"/>
        <v>34.375</v>
      </c>
      <c r="L168">
        <v>4</v>
      </c>
      <c r="M168">
        <v>5</v>
      </c>
      <c r="N168">
        <v>4</v>
      </c>
      <c r="O168">
        <v>2</v>
      </c>
      <c r="P168">
        <v>2</v>
      </c>
      <c r="Q168">
        <v>2</v>
      </c>
      <c r="S168">
        <f t="shared" si="27"/>
        <v>19</v>
      </c>
      <c r="T168">
        <f t="shared" si="28"/>
        <v>42.857142857142854</v>
      </c>
      <c r="U168">
        <v>2</v>
      </c>
      <c r="V168">
        <v>1</v>
      </c>
      <c r="W168">
        <v>2</v>
      </c>
      <c r="X168">
        <v>2</v>
      </c>
      <c r="Y168">
        <v>3</v>
      </c>
      <c r="Z168">
        <v>5</v>
      </c>
      <c r="AB168">
        <f t="shared" si="29"/>
        <v>15</v>
      </c>
      <c r="AC168">
        <f t="shared" si="30"/>
        <v>28.571428571428569</v>
      </c>
      <c r="AD168">
        <v>3</v>
      </c>
      <c r="AE168">
        <v>2</v>
      </c>
      <c r="AF168">
        <v>2</v>
      </c>
      <c r="AG168">
        <v>2</v>
      </c>
      <c r="AH168">
        <v>2</v>
      </c>
      <c r="AI168">
        <v>2</v>
      </c>
      <c r="AJ168">
        <v>1</v>
      </c>
      <c r="AK168">
        <f t="shared" si="31"/>
        <v>14</v>
      </c>
      <c r="AL168">
        <f t="shared" si="32"/>
        <v>25</v>
      </c>
      <c r="AM168">
        <v>2</v>
      </c>
      <c r="AN168">
        <v>1</v>
      </c>
      <c r="AO168">
        <v>2</v>
      </c>
      <c r="AP168">
        <v>1</v>
      </c>
      <c r="AQ168">
        <v>2</v>
      </c>
      <c r="AR168">
        <v>2</v>
      </c>
      <c r="AS168" s="1">
        <v>5</v>
      </c>
      <c r="AT168" s="1">
        <f t="shared" si="33"/>
        <v>15</v>
      </c>
      <c r="AU168" s="1">
        <f t="shared" si="34"/>
        <v>28.571428571428569</v>
      </c>
    </row>
    <row r="169" spans="1:47">
      <c r="A169" t="s">
        <v>60</v>
      </c>
      <c r="B169">
        <v>2</v>
      </c>
      <c r="C169">
        <v>2</v>
      </c>
      <c r="D169">
        <v>1</v>
      </c>
      <c r="E169">
        <v>4</v>
      </c>
      <c r="F169">
        <v>1</v>
      </c>
      <c r="G169">
        <v>3</v>
      </c>
      <c r="H169">
        <v>4</v>
      </c>
      <c r="I169">
        <v>2</v>
      </c>
      <c r="J169">
        <f t="shared" si="35"/>
        <v>19</v>
      </c>
      <c r="K169">
        <f t="shared" si="26"/>
        <v>34.375</v>
      </c>
      <c r="L169">
        <v>4</v>
      </c>
      <c r="M169">
        <v>2</v>
      </c>
      <c r="N169">
        <v>3</v>
      </c>
      <c r="O169">
        <v>3</v>
      </c>
      <c r="P169">
        <v>2</v>
      </c>
      <c r="R169">
        <v>2</v>
      </c>
      <c r="S169">
        <f t="shared" si="27"/>
        <v>16</v>
      </c>
      <c r="T169">
        <f t="shared" si="28"/>
        <v>32.142857142857146</v>
      </c>
      <c r="U169">
        <v>1</v>
      </c>
      <c r="V169">
        <v>1</v>
      </c>
      <c r="W169">
        <v>1</v>
      </c>
      <c r="X169">
        <v>1</v>
      </c>
      <c r="Y169">
        <v>3</v>
      </c>
      <c r="Z169">
        <v>3</v>
      </c>
      <c r="AA169">
        <v>2</v>
      </c>
      <c r="AB169">
        <f t="shared" si="29"/>
        <v>12</v>
      </c>
      <c r="AC169">
        <f t="shared" si="30"/>
        <v>17.857142857142858</v>
      </c>
      <c r="AD169">
        <v>2</v>
      </c>
      <c r="AE169">
        <v>3</v>
      </c>
      <c r="AF169">
        <v>3</v>
      </c>
      <c r="AG169">
        <v>3</v>
      </c>
      <c r="AH169">
        <v>1</v>
      </c>
      <c r="AI169">
        <v>1</v>
      </c>
      <c r="AJ169">
        <v>2</v>
      </c>
      <c r="AK169">
        <f t="shared" si="31"/>
        <v>15</v>
      </c>
      <c r="AL169">
        <f t="shared" si="32"/>
        <v>28.571428571428569</v>
      </c>
      <c r="AM169">
        <v>1</v>
      </c>
      <c r="AN169">
        <v>2</v>
      </c>
      <c r="AO169">
        <v>1</v>
      </c>
      <c r="AP169">
        <v>2</v>
      </c>
      <c r="AQ169">
        <v>2</v>
      </c>
      <c r="AR169">
        <v>1</v>
      </c>
      <c r="AS169" s="1">
        <v>2</v>
      </c>
      <c r="AT169" s="1">
        <f t="shared" si="33"/>
        <v>11</v>
      </c>
      <c r="AU169" s="1">
        <f t="shared" si="34"/>
        <v>14.285714285714285</v>
      </c>
    </row>
    <row r="170" spans="1:47">
      <c r="A170" t="s">
        <v>61</v>
      </c>
      <c r="B170">
        <v>1</v>
      </c>
      <c r="C170">
        <v>1</v>
      </c>
      <c r="D170">
        <v>1</v>
      </c>
      <c r="E170">
        <v>5</v>
      </c>
      <c r="F170">
        <v>1</v>
      </c>
      <c r="G170">
        <v>1</v>
      </c>
      <c r="H170">
        <v>2</v>
      </c>
      <c r="I170">
        <v>1</v>
      </c>
      <c r="J170">
        <f t="shared" si="35"/>
        <v>13</v>
      </c>
      <c r="K170">
        <f t="shared" si="26"/>
        <v>15.625</v>
      </c>
      <c r="L170">
        <v>5</v>
      </c>
      <c r="M170">
        <v>4</v>
      </c>
      <c r="N170">
        <v>1</v>
      </c>
      <c r="O170">
        <v>1</v>
      </c>
      <c r="P170">
        <v>4</v>
      </c>
      <c r="R170">
        <v>1</v>
      </c>
      <c r="S170">
        <f t="shared" si="27"/>
        <v>16</v>
      </c>
      <c r="T170">
        <f t="shared" si="28"/>
        <v>32.142857142857146</v>
      </c>
      <c r="U170">
        <v>1</v>
      </c>
      <c r="V170">
        <v>1</v>
      </c>
      <c r="W170">
        <v>1</v>
      </c>
      <c r="X170">
        <v>1</v>
      </c>
      <c r="Y170">
        <v>4</v>
      </c>
      <c r="Z170">
        <v>3</v>
      </c>
      <c r="AA170">
        <v>3</v>
      </c>
      <c r="AB170">
        <f t="shared" si="29"/>
        <v>14</v>
      </c>
      <c r="AC170">
        <f t="shared" si="30"/>
        <v>25</v>
      </c>
      <c r="AD170">
        <v>2</v>
      </c>
      <c r="AE170">
        <v>1</v>
      </c>
      <c r="AF170">
        <v>3</v>
      </c>
      <c r="AG170">
        <v>2</v>
      </c>
      <c r="AH170">
        <v>1</v>
      </c>
      <c r="AI170">
        <v>1</v>
      </c>
      <c r="AJ170">
        <v>1</v>
      </c>
      <c r="AK170">
        <f t="shared" si="31"/>
        <v>11</v>
      </c>
      <c r="AL170">
        <f t="shared" si="32"/>
        <v>14.285714285714285</v>
      </c>
      <c r="AM170">
        <v>3</v>
      </c>
      <c r="AN170">
        <v>2</v>
      </c>
      <c r="AO170">
        <v>3</v>
      </c>
      <c r="AP170">
        <v>1</v>
      </c>
      <c r="AQ170">
        <v>1</v>
      </c>
      <c r="AR170">
        <v>1</v>
      </c>
      <c r="AS170" s="1">
        <v>2</v>
      </c>
      <c r="AT170" s="1">
        <f t="shared" si="33"/>
        <v>13</v>
      </c>
      <c r="AU170" s="1">
        <f t="shared" si="34"/>
        <v>21.428571428571427</v>
      </c>
    </row>
    <row r="171" spans="1:47">
      <c r="A171" t="s">
        <v>62</v>
      </c>
      <c r="B171">
        <v>2</v>
      </c>
      <c r="C171">
        <v>2</v>
      </c>
      <c r="D171">
        <v>2</v>
      </c>
      <c r="E171">
        <v>3</v>
      </c>
      <c r="F171">
        <v>1</v>
      </c>
      <c r="G171">
        <v>1</v>
      </c>
      <c r="H171">
        <v>1</v>
      </c>
      <c r="I171">
        <v>1</v>
      </c>
      <c r="J171">
        <f t="shared" si="35"/>
        <v>13</v>
      </c>
      <c r="K171">
        <f t="shared" si="26"/>
        <v>15.625</v>
      </c>
      <c r="L171">
        <v>4</v>
      </c>
      <c r="M171">
        <v>1</v>
      </c>
      <c r="N171">
        <v>1</v>
      </c>
      <c r="O171">
        <v>1</v>
      </c>
      <c r="P171">
        <v>2</v>
      </c>
      <c r="R171">
        <v>1</v>
      </c>
      <c r="S171">
        <f t="shared" si="27"/>
        <v>10</v>
      </c>
      <c r="T171">
        <f t="shared" si="28"/>
        <v>10.714285714285714</v>
      </c>
      <c r="U171">
        <v>1</v>
      </c>
      <c r="V171">
        <v>1</v>
      </c>
      <c r="W171">
        <v>1</v>
      </c>
      <c r="X171">
        <v>1</v>
      </c>
      <c r="Y171">
        <v>2</v>
      </c>
      <c r="Z171">
        <v>1</v>
      </c>
      <c r="AA171">
        <v>2</v>
      </c>
      <c r="AB171">
        <f t="shared" si="29"/>
        <v>9</v>
      </c>
      <c r="AC171">
        <f t="shared" si="30"/>
        <v>7.1428571428571423</v>
      </c>
      <c r="AD171">
        <v>2</v>
      </c>
      <c r="AE171">
        <v>2</v>
      </c>
      <c r="AF171">
        <v>1</v>
      </c>
      <c r="AG171">
        <v>1</v>
      </c>
      <c r="AH171">
        <v>1</v>
      </c>
      <c r="AI171">
        <v>2</v>
      </c>
      <c r="AJ171">
        <v>1</v>
      </c>
      <c r="AK171">
        <f t="shared" si="31"/>
        <v>10</v>
      </c>
      <c r="AL171">
        <f t="shared" si="32"/>
        <v>10.714285714285714</v>
      </c>
      <c r="AM171">
        <v>2</v>
      </c>
      <c r="AN171">
        <v>2</v>
      </c>
      <c r="AO171">
        <v>1</v>
      </c>
      <c r="AP171">
        <v>1</v>
      </c>
      <c r="AQ171">
        <v>1</v>
      </c>
      <c r="AR171">
        <v>1</v>
      </c>
      <c r="AS171" s="1">
        <v>1</v>
      </c>
      <c r="AT171" s="1">
        <f t="shared" si="33"/>
        <v>9</v>
      </c>
      <c r="AU171" s="1">
        <f t="shared" si="34"/>
        <v>7.1428571428571423</v>
      </c>
    </row>
    <row r="172" spans="1:47">
      <c r="A172" t="s">
        <v>63</v>
      </c>
      <c r="B172">
        <v>2</v>
      </c>
      <c r="C172">
        <v>2</v>
      </c>
      <c r="D172">
        <v>3</v>
      </c>
      <c r="E172">
        <v>2</v>
      </c>
      <c r="F172">
        <v>1</v>
      </c>
      <c r="G172">
        <v>1</v>
      </c>
      <c r="H172">
        <v>2</v>
      </c>
      <c r="I172">
        <v>2</v>
      </c>
      <c r="J172">
        <f t="shared" si="35"/>
        <v>15</v>
      </c>
      <c r="K172">
        <f t="shared" si="26"/>
        <v>21.875</v>
      </c>
      <c r="L172">
        <v>3</v>
      </c>
      <c r="M172">
        <v>3</v>
      </c>
      <c r="N172">
        <v>2</v>
      </c>
      <c r="O172">
        <v>1</v>
      </c>
      <c r="P172">
        <v>1</v>
      </c>
      <c r="R172">
        <v>2</v>
      </c>
      <c r="S172">
        <f t="shared" si="27"/>
        <v>12</v>
      </c>
      <c r="T172">
        <f t="shared" si="28"/>
        <v>17.857142857142858</v>
      </c>
      <c r="U172">
        <v>1</v>
      </c>
      <c r="V172">
        <v>1</v>
      </c>
      <c r="W172">
        <v>1</v>
      </c>
      <c r="X172">
        <v>1</v>
      </c>
      <c r="Y172">
        <v>3</v>
      </c>
      <c r="Z172">
        <v>3</v>
      </c>
      <c r="AA172">
        <v>2</v>
      </c>
      <c r="AB172">
        <f t="shared" si="29"/>
        <v>12</v>
      </c>
      <c r="AC172">
        <f t="shared" si="30"/>
        <v>17.857142857142858</v>
      </c>
      <c r="AD172">
        <v>2</v>
      </c>
      <c r="AE172">
        <v>3</v>
      </c>
      <c r="AF172">
        <v>4</v>
      </c>
      <c r="AG172">
        <v>2</v>
      </c>
      <c r="AH172">
        <v>2</v>
      </c>
      <c r="AI172">
        <v>3</v>
      </c>
      <c r="AJ172">
        <v>3</v>
      </c>
      <c r="AK172">
        <f t="shared" si="31"/>
        <v>19</v>
      </c>
      <c r="AL172">
        <f t="shared" si="32"/>
        <v>42.857142857142854</v>
      </c>
      <c r="AM172">
        <v>2</v>
      </c>
      <c r="AN172">
        <v>2</v>
      </c>
      <c r="AO172">
        <v>3</v>
      </c>
      <c r="AP172">
        <v>3</v>
      </c>
      <c r="AQ172">
        <v>3</v>
      </c>
      <c r="AR172">
        <v>3</v>
      </c>
      <c r="AS172" s="1">
        <v>4</v>
      </c>
      <c r="AT172" s="1">
        <f t="shared" si="33"/>
        <v>20</v>
      </c>
      <c r="AU172" s="1">
        <f t="shared" si="34"/>
        <v>46.428571428571431</v>
      </c>
    </row>
    <row r="173" spans="1:47">
      <c r="A173" t="s">
        <v>64</v>
      </c>
      <c r="B173">
        <v>3</v>
      </c>
      <c r="C173">
        <v>3</v>
      </c>
      <c r="D173">
        <v>3</v>
      </c>
      <c r="E173">
        <v>3</v>
      </c>
      <c r="F173">
        <v>2</v>
      </c>
      <c r="G173">
        <v>2</v>
      </c>
      <c r="H173">
        <v>3</v>
      </c>
      <c r="I173">
        <v>1</v>
      </c>
      <c r="J173">
        <f t="shared" si="35"/>
        <v>20</v>
      </c>
      <c r="K173">
        <f t="shared" si="26"/>
        <v>37.5</v>
      </c>
      <c r="L173">
        <v>3</v>
      </c>
      <c r="M173">
        <v>2</v>
      </c>
      <c r="N173">
        <v>3</v>
      </c>
      <c r="O173">
        <v>2</v>
      </c>
      <c r="P173">
        <v>2</v>
      </c>
      <c r="R173">
        <v>3</v>
      </c>
      <c r="S173">
        <f t="shared" si="27"/>
        <v>15</v>
      </c>
      <c r="T173">
        <f t="shared" si="28"/>
        <v>28.571428571428569</v>
      </c>
      <c r="U173">
        <v>3</v>
      </c>
      <c r="V173">
        <v>2</v>
      </c>
      <c r="W173">
        <v>2</v>
      </c>
      <c r="X173">
        <v>2</v>
      </c>
      <c r="Y173">
        <v>4</v>
      </c>
      <c r="Z173">
        <v>3</v>
      </c>
      <c r="AA173">
        <v>3</v>
      </c>
      <c r="AB173">
        <f t="shared" si="29"/>
        <v>19</v>
      </c>
      <c r="AC173">
        <f t="shared" si="30"/>
        <v>42.857142857142854</v>
      </c>
      <c r="AD173">
        <v>3</v>
      </c>
      <c r="AE173">
        <v>3</v>
      </c>
      <c r="AF173">
        <v>3</v>
      </c>
      <c r="AG173">
        <v>4</v>
      </c>
      <c r="AH173">
        <v>2</v>
      </c>
      <c r="AI173">
        <v>3</v>
      </c>
      <c r="AJ173">
        <v>3</v>
      </c>
      <c r="AK173">
        <f t="shared" si="31"/>
        <v>21</v>
      </c>
      <c r="AL173">
        <f t="shared" si="32"/>
        <v>50</v>
      </c>
      <c r="AM173">
        <v>3</v>
      </c>
      <c r="AN173">
        <v>3</v>
      </c>
      <c r="AO173">
        <v>2</v>
      </c>
      <c r="AP173">
        <v>3</v>
      </c>
      <c r="AQ173">
        <v>2</v>
      </c>
      <c r="AR173">
        <v>2</v>
      </c>
      <c r="AS173" s="1">
        <v>2</v>
      </c>
      <c r="AT173" s="1">
        <f t="shared" si="33"/>
        <v>17</v>
      </c>
      <c r="AU173" s="1">
        <f t="shared" si="34"/>
        <v>35.714285714285715</v>
      </c>
    </row>
    <row r="174" spans="1:47">
      <c r="A174" t="s">
        <v>65</v>
      </c>
      <c r="B174">
        <v>3</v>
      </c>
      <c r="C174">
        <v>2</v>
      </c>
      <c r="D174">
        <v>3</v>
      </c>
      <c r="E174">
        <v>2</v>
      </c>
      <c r="F174">
        <v>2</v>
      </c>
      <c r="G174">
        <v>3</v>
      </c>
      <c r="H174">
        <v>2</v>
      </c>
      <c r="I174">
        <v>3</v>
      </c>
      <c r="J174">
        <f t="shared" si="35"/>
        <v>20</v>
      </c>
      <c r="K174">
        <f t="shared" si="26"/>
        <v>37.5</v>
      </c>
      <c r="L174">
        <v>3</v>
      </c>
      <c r="M174">
        <v>4</v>
      </c>
      <c r="N174">
        <v>3</v>
      </c>
      <c r="O174">
        <v>3</v>
      </c>
      <c r="P174">
        <v>3</v>
      </c>
      <c r="R174">
        <v>2</v>
      </c>
      <c r="S174">
        <f t="shared" si="27"/>
        <v>18</v>
      </c>
      <c r="T174">
        <f t="shared" si="28"/>
        <v>39.285714285714285</v>
      </c>
      <c r="U174">
        <v>1</v>
      </c>
      <c r="V174">
        <v>2</v>
      </c>
      <c r="W174">
        <v>1</v>
      </c>
      <c r="X174">
        <v>1</v>
      </c>
      <c r="Y174">
        <v>3</v>
      </c>
      <c r="Z174">
        <v>3</v>
      </c>
      <c r="AA174">
        <v>3</v>
      </c>
      <c r="AB174">
        <f t="shared" si="29"/>
        <v>14</v>
      </c>
      <c r="AC174">
        <f t="shared" si="30"/>
        <v>25</v>
      </c>
      <c r="AD174">
        <v>2</v>
      </c>
      <c r="AE174">
        <v>3</v>
      </c>
      <c r="AF174">
        <v>3</v>
      </c>
      <c r="AG174">
        <v>3</v>
      </c>
      <c r="AH174">
        <v>1</v>
      </c>
      <c r="AI174">
        <v>2</v>
      </c>
      <c r="AJ174">
        <v>1</v>
      </c>
      <c r="AK174">
        <f t="shared" si="31"/>
        <v>15</v>
      </c>
      <c r="AL174">
        <f t="shared" si="32"/>
        <v>28.571428571428569</v>
      </c>
      <c r="AM174">
        <v>1</v>
      </c>
      <c r="AN174">
        <v>1</v>
      </c>
      <c r="AO174">
        <v>1</v>
      </c>
      <c r="AP174">
        <v>1</v>
      </c>
      <c r="AQ174">
        <v>1</v>
      </c>
      <c r="AR174">
        <v>1</v>
      </c>
      <c r="AS174" s="1">
        <v>3</v>
      </c>
      <c r="AT174" s="1">
        <f t="shared" si="33"/>
        <v>9</v>
      </c>
      <c r="AU174" s="1">
        <f t="shared" si="34"/>
        <v>7.1428571428571423</v>
      </c>
    </row>
    <row r="175" spans="1:47">
      <c r="A175" t="s">
        <v>66</v>
      </c>
      <c r="B175">
        <v>2</v>
      </c>
      <c r="C175">
        <v>3</v>
      </c>
      <c r="D175">
        <v>5</v>
      </c>
      <c r="E175">
        <v>2</v>
      </c>
      <c r="F175">
        <v>3</v>
      </c>
      <c r="G175">
        <v>1</v>
      </c>
      <c r="H175">
        <v>5</v>
      </c>
      <c r="I175">
        <v>3</v>
      </c>
      <c r="J175">
        <f t="shared" si="35"/>
        <v>24</v>
      </c>
      <c r="K175">
        <f t="shared" si="26"/>
        <v>50</v>
      </c>
      <c r="L175">
        <v>3</v>
      </c>
      <c r="M175">
        <v>2</v>
      </c>
      <c r="N175">
        <v>1</v>
      </c>
      <c r="O175">
        <v>1</v>
      </c>
      <c r="P175">
        <v>1</v>
      </c>
      <c r="Q175">
        <v>1</v>
      </c>
      <c r="S175">
        <f t="shared" si="27"/>
        <v>9</v>
      </c>
      <c r="T175">
        <f t="shared" si="28"/>
        <v>7.1428571428571423</v>
      </c>
      <c r="U175">
        <v>1</v>
      </c>
      <c r="V175">
        <v>1</v>
      </c>
      <c r="W175">
        <v>3</v>
      </c>
      <c r="X175">
        <v>3</v>
      </c>
      <c r="Y175">
        <v>4</v>
      </c>
      <c r="Z175">
        <v>2</v>
      </c>
      <c r="AA175">
        <v>3</v>
      </c>
      <c r="AB175">
        <f t="shared" si="29"/>
        <v>17</v>
      </c>
      <c r="AC175">
        <f t="shared" si="30"/>
        <v>35.714285714285715</v>
      </c>
      <c r="AD175">
        <v>2</v>
      </c>
      <c r="AE175">
        <v>2</v>
      </c>
      <c r="AF175">
        <v>2</v>
      </c>
      <c r="AG175">
        <v>2</v>
      </c>
      <c r="AH175">
        <v>3</v>
      </c>
      <c r="AI175">
        <v>1</v>
      </c>
      <c r="AJ175">
        <v>2</v>
      </c>
      <c r="AK175">
        <f t="shared" si="31"/>
        <v>14</v>
      </c>
      <c r="AL175">
        <f t="shared" si="32"/>
        <v>25</v>
      </c>
      <c r="AM175">
        <v>5</v>
      </c>
      <c r="AN175">
        <v>5</v>
      </c>
      <c r="AO175">
        <v>5</v>
      </c>
      <c r="AP175">
        <v>5</v>
      </c>
      <c r="AQ175">
        <v>1</v>
      </c>
      <c r="AR175">
        <v>1</v>
      </c>
      <c r="AS175" s="1">
        <v>1</v>
      </c>
      <c r="AT175" s="1">
        <f t="shared" si="33"/>
        <v>23</v>
      </c>
      <c r="AU175" s="1">
        <f t="shared" si="34"/>
        <v>57.142857142857139</v>
      </c>
    </row>
    <row r="176" spans="1:47">
      <c r="A176" t="s">
        <v>67</v>
      </c>
      <c r="B176">
        <v>1</v>
      </c>
      <c r="C176">
        <v>3</v>
      </c>
      <c r="D176">
        <v>3</v>
      </c>
      <c r="E176">
        <v>4</v>
      </c>
      <c r="F176">
        <v>2</v>
      </c>
      <c r="G176">
        <v>3</v>
      </c>
      <c r="H176">
        <v>1</v>
      </c>
      <c r="I176">
        <v>1</v>
      </c>
      <c r="J176">
        <f t="shared" si="35"/>
        <v>18</v>
      </c>
      <c r="K176">
        <f t="shared" si="26"/>
        <v>31.25</v>
      </c>
      <c r="L176">
        <v>3</v>
      </c>
      <c r="M176">
        <v>1</v>
      </c>
      <c r="N176">
        <v>4</v>
      </c>
      <c r="O176">
        <v>3</v>
      </c>
      <c r="P176">
        <v>1</v>
      </c>
      <c r="R176">
        <v>1</v>
      </c>
      <c r="S176">
        <f t="shared" si="27"/>
        <v>13</v>
      </c>
      <c r="T176">
        <f t="shared" si="28"/>
        <v>21.428571428571427</v>
      </c>
      <c r="U176">
        <v>1</v>
      </c>
      <c r="V176">
        <v>1</v>
      </c>
      <c r="W176">
        <v>1</v>
      </c>
      <c r="X176">
        <v>1</v>
      </c>
      <c r="Y176">
        <v>2</v>
      </c>
      <c r="Z176">
        <v>5</v>
      </c>
      <c r="AA176">
        <v>2</v>
      </c>
      <c r="AB176">
        <f t="shared" si="29"/>
        <v>13</v>
      </c>
      <c r="AC176">
        <f t="shared" si="30"/>
        <v>21.428571428571427</v>
      </c>
      <c r="AD176">
        <v>2</v>
      </c>
      <c r="AE176">
        <v>2</v>
      </c>
      <c r="AF176">
        <v>4</v>
      </c>
      <c r="AG176">
        <v>4</v>
      </c>
      <c r="AH176">
        <v>1</v>
      </c>
      <c r="AI176">
        <v>4</v>
      </c>
      <c r="AJ176">
        <v>1</v>
      </c>
      <c r="AK176">
        <f t="shared" si="31"/>
        <v>18</v>
      </c>
      <c r="AL176">
        <f t="shared" si="32"/>
        <v>39.285714285714285</v>
      </c>
      <c r="AM176">
        <v>1</v>
      </c>
      <c r="AN176">
        <v>1</v>
      </c>
      <c r="AO176">
        <v>1</v>
      </c>
      <c r="AP176">
        <v>3</v>
      </c>
      <c r="AQ176">
        <v>1</v>
      </c>
      <c r="AR176">
        <v>1</v>
      </c>
      <c r="AS176" s="1">
        <v>4</v>
      </c>
      <c r="AT176" s="1">
        <f t="shared" si="33"/>
        <v>12</v>
      </c>
      <c r="AU176" s="1">
        <f t="shared" si="34"/>
        <v>17.857142857142858</v>
      </c>
    </row>
    <row r="177" spans="1:47">
      <c r="A177" t="s">
        <v>68</v>
      </c>
      <c r="B177">
        <v>1</v>
      </c>
      <c r="C177">
        <v>2</v>
      </c>
      <c r="D177">
        <v>2</v>
      </c>
      <c r="E177">
        <v>2</v>
      </c>
      <c r="F177">
        <v>1</v>
      </c>
      <c r="G177">
        <v>1</v>
      </c>
      <c r="H177">
        <v>1</v>
      </c>
      <c r="I177">
        <v>2</v>
      </c>
      <c r="J177">
        <f t="shared" si="35"/>
        <v>12</v>
      </c>
      <c r="K177">
        <f t="shared" si="26"/>
        <v>12.5</v>
      </c>
      <c r="L177">
        <v>2</v>
      </c>
      <c r="M177">
        <v>1</v>
      </c>
      <c r="N177">
        <v>1</v>
      </c>
      <c r="O177">
        <v>1</v>
      </c>
      <c r="P177">
        <v>1</v>
      </c>
      <c r="R177">
        <v>1</v>
      </c>
      <c r="S177">
        <f t="shared" si="27"/>
        <v>7</v>
      </c>
      <c r="T177">
        <f t="shared" si="28"/>
        <v>0</v>
      </c>
      <c r="U177">
        <v>1</v>
      </c>
      <c r="V177">
        <v>1</v>
      </c>
      <c r="W177">
        <v>1</v>
      </c>
      <c r="X177">
        <v>1</v>
      </c>
      <c r="Y177">
        <v>2</v>
      </c>
      <c r="Z177">
        <v>2</v>
      </c>
      <c r="AA177">
        <v>1</v>
      </c>
      <c r="AB177">
        <f t="shared" si="29"/>
        <v>9</v>
      </c>
      <c r="AC177">
        <f t="shared" si="30"/>
        <v>7.1428571428571423</v>
      </c>
      <c r="AD177">
        <v>2</v>
      </c>
      <c r="AE177">
        <v>2</v>
      </c>
      <c r="AF177">
        <v>2</v>
      </c>
      <c r="AG177">
        <v>2</v>
      </c>
      <c r="AH177">
        <v>1</v>
      </c>
      <c r="AI177">
        <v>2</v>
      </c>
      <c r="AJ177">
        <v>1</v>
      </c>
      <c r="AK177">
        <f t="shared" si="31"/>
        <v>12</v>
      </c>
      <c r="AL177">
        <f t="shared" si="32"/>
        <v>17.857142857142858</v>
      </c>
      <c r="AM177">
        <v>1</v>
      </c>
      <c r="AN177">
        <v>1</v>
      </c>
      <c r="AO177">
        <v>1</v>
      </c>
      <c r="AP177">
        <v>1</v>
      </c>
      <c r="AQ177">
        <v>1</v>
      </c>
      <c r="AR177">
        <v>1</v>
      </c>
      <c r="AS177" s="1">
        <v>1</v>
      </c>
      <c r="AT177" s="1">
        <f t="shared" si="33"/>
        <v>7</v>
      </c>
      <c r="AU177" s="1">
        <f t="shared" si="34"/>
        <v>0</v>
      </c>
    </row>
    <row r="178" spans="1:47">
      <c r="A178" t="s">
        <v>69</v>
      </c>
      <c r="J178">
        <f t="shared" si="35"/>
        <v>0</v>
      </c>
      <c r="K178">
        <f t="shared" ref="K178:K214" si="36">((J178-8)/(8*4))*100</f>
        <v>-25</v>
      </c>
      <c r="S178">
        <f t="shared" ref="S178:S214" si="37">SUM(L178:R178)</f>
        <v>0</v>
      </c>
      <c r="T178">
        <f t="shared" ref="T178:T214" si="38">((S178-7)/(7*4))*100</f>
        <v>-25</v>
      </c>
      <c r="AB178">
        <f t="shared" ref="AB178:AB214" si="39">SUM(U178:AA178)</f>
        <v>0</v>
      </c>
      <c r="AC178">
        <f t="shared" ref="AC178:AC214" si="40">((AB178-7)/(7*4))*100</f>
        <v>-25</v>
      </c>
      <c r="AK178">
        <f t="shared" ref="AK178:AK214" si="41">SUM(AD178:AJ178)</f>
        <v>0</v>
      </c>
      <c r="AL178">
        <f t="shared" ref="AL178:AL214" si="42">((AK178-7)/(7*4))*100</f>
        <v>-25</v>
      </c>
      <c r="AT178" s="1">
        <f t="shared" ref="AT178:AT214" si="43">SUM(AM178:AS178)</f>
        <v>0</v>
      </c>
      <c r="AU178" s="1">
        <f t="shared" ref="AU178:AU214" si="44">((AT178-7)/(7*4))*100</f>
        <v>-25</v>
      </c>
    </row>
    <row r="179" spans="1:47">
      <c r="A179" t="s">
        <v>70</v>
      </c>
      <c r="B179">
        <v>2</v>
      </c>
      <c r="C179">
        <v>2</v>
      </c>
      <c r="D179">
        <v>1</v>
      </c>
      <c r="E179">
        <v>2</v>
      </c>
      <c r="F179">
        <v>2</v>
      </c>
      <c r="G179">
        <v>2</v>
      </c>
      <c r="H179">
        <v>2</v>
      </c>
      <c r="I179">
        <v>1</v>
      </c>
      <c r="J179">
        <f t="shared" ref="J179:J214" si="45">SUM(B179:I179)</f>
        <v>14</v>
      </c>
      <c r="K179">
        <f t="shared" si="36"/>
        <v>18.75</v>
      </c>
      <c r="L179">
        <v>3</v>
      </c>
      <c r="M179">
        <v>1</v>
      </c>
      <c r="N179">
        <v>1</v>
      </c>
      <c r="O179">
        <v>2</v>
      </c>
      <c r="P179">
        <v>1</v>
      </c>
      <c r="R179">
        <v>1</v>
      </c>
      <c r="S179">
        <f t="shared" si="37"/>
        <v>9</v>
      </c>
      <c r="T179">
        <f t="shared" si="38"/>
        <v>7.1428571428571423</v>
      </c>
      <c r="U179">
        <v>1</v>
      </c>
      <c r="V179">
        <v>1</v>
      </c>
      <c r="W179">
        <v>2</v>
      </c>
      <c r="X179">
        <v>1</v>
      </c>
      <c r="Y179">
        <v>2</v>
      </c>
      <c r="Z179">
        <v>2</v>
      </c>
      <c r="AA179">
        <v>1</v>
      </c>
      <c r="AB179">
        <f t="shared" si="39"/>
        <v>10</v>
      </c>
      <c r="AC179">
        <f t="shared" si="40"/>
        <v>10.714285714285714</v>
      </c>
      <c r="AD179">
        <v>3</v>
      </c>
      <c r="AE179">
        <v>2</v>
      </c>
      <c r="AF179">
        <v>2</v>
      </c>
      <c r="AG179">
        <v>2</v>
      </c>
      <c r="AH179">
        <v>1</v>
      </c>
      <c r="AI179">
        <v>2</v>
      </c>
      <c r="AJ179">
        <v>1</v>
      </c>
      <c r="AK179">
        <f t="shared" si="41"/>
        <v>13</v>
      </c>
      <c r="AL179">
        <f t="shared" si="42"/>
        <v>21.428571428571427</v>
      </c>
      <c r="AM179">
        <v>2</v>
      </c>
      <c r="AN179">
        <v>3</v>
      </c>
      <c r="AO179">
        <v>1</v>
      </c>
      <c r="AP179">
        <v>1</v>
      </c>
      <c r="AQ179">
        <v>1</v>
      </c>
      <c r="AR179">
        <v>1</v>
      </c>
      <c r="AS179" s="1">
        <v>2</v>
      </c>
      <c r="AT179" s="1">
        <f t="shared" si="43"/>
        <v>11</v>
      </c>
      <c r="AU179" s="1">
        <f t="shared" si="44"/>
        <v>14.285714285714285</v>
      </c>
    </row>
    <row r="180" spans="1:47">
      <c r="A180" t="s">
        <v>71</v>
      </c>
      <c r="B180">
        <v>2</v>
      </c>
      <c r="C180">
        <v>2</v>
      </c>
      <c r="D180">
        <v>2</v>
      </c>
      <c r="E180">
        <v>5</v>
      </c>
      <c r="F180">
        <v>1</v>
      </c>
      <c r="G180">
        <v>1</v>
      </c>
      <c r="H180">
        <v>4</v>
      </c>
      <c r="I180">
        <v>5</v>
      </c>
      <c r="J180">
        <f t="shared" si="45"/>
        <v>22</v>
      </c>
      <c r="K180">
        <f t="shared" si="36"/>
        <v>43.75</v>
      </c>
      <c r="L180">
        <v>5</v>
      </c>
      <c r="M180">
        <v>5</v>
      </c>
      <c r="N180">
        <v>5</v>
      </c>
      <c r="O180">
        <v>5</v>
      </c>
      <c r="P180">
        <v>4</v>
      </c>
      <c r="R180">
        <v>2</v>
      </c>
      <c r="S180">
        <f t="shared" si="37"/>
        <v>26</v>
      </c>
      <c r="T180">
        <f t="shared" si="38"/>
        <v>67.857142857142861</v>
      </c>
      <c r="U180">
        <v>1</v>
      </c>
      <c r="V180">
        <v>1</v>
      </c>
      <c r="W180">
        <v>5</v>
      </c>
      <c r="X180">
        <v>1</v>
      </c>
      <c r="Y180">
        <v>2</v>
      </c>
      <c r="Z180">
        <v>5</v>
      </c>
      <c r="AA180">
        <v>1</v>
      </c>
      <c r="AB180">
        <f t="shared" si="39"/>
        <v>16</v>
      </c>
      <c r="AC180">
        <f t="shared" si="40"/>
        <v>32.142857142857146</v>
      </c>
      <c r="AD180">
        <v>2</v>
      </c>
      <c r="AE180">
        <v>2</v>
      </c>
      <c r="AF180">
        <v>4</v>
      </c>
      <c r="AG180">
        <v>3</v>
      </c>
      <c r="AH180">
        <v>1</v>
      </c>
      <c r="AI180">
        <v>2</v>
      </c>
      <c r="AJ180">
        <v>1</v>
      </c>
      <c r="AK180">
        <f t="shared" si="41"/>
        <v>15</v>
      </c>
      <c r="AL180">
        <f t="shared" si="42"/>
        <v>28.571428571428569</v>
      </c>
      <c r="AM180">
        <v>4</v>
      </c>
      <c r="AN180">
        <v>5</v>
      </c>
      <c r="AO180">
        <v>1</v>
      </c>
      <c r="AP180">
        <v>4</v>
      </c>
      <c r="AQ180">
        <v>5</v>
      </c>
      <c r="AR180">
        <v>1</v>
      </c>
      <c r="AS180" s="1">
        <v>1</v>
      </c>
      <c r="AT180" s="1">
        <f t="shared" si="43"/>
        <v>21</v>
      </c>
      <c r="AU180" s="1">
        <f t="shared" si="44"/>
        <v>50</v>
      </c>
    </row>
    <row r="181" spans="1:47">
      <c r="A181" t="s">
        <v>209</v>
      </c>
      <c r="B181">
        <v>2</v>
      </c>
      <c r="C181">
        <v>3</v>
      </c>
      <c r="D181">
        <v>1</v>
      </c>
      <c r="E181">
        <v>2</v>
      </c>
      <c r="F181">
        <v>2</v>
      </c>
      <c r="G181">
        <v>1</v>
      </c>
      <c r="H181">
        <v>3</v>
      </c>
      <c r="I181">
        <v>2</v>
      </c>
      <c r="J181">
        <f t="shared" si="45"/>
        <v>16</v>
      </c>
      <c r="K181">
        <f t="shared" si="36"/>
        <v>25</v>
      </c>
      <c r="L181">
        <v>4</v>
      </c>
      <c r="M181">
        <v>4</v>
      </c>
      <c r="N181">
        <v>2</v>
      </c>
      <c r="O181">
        <v>2</v>
      </c>
      <c r="P181">
        <v>1</v>
      </c>
      <c r="R181">
        <v>2</v>
      </c>
      <c r="S181">
        <f t="shared" si="37"/>
        <v>15</v>
      </c>
      <c r="T181">
        <f t="shared" si="38"/>
        <v>28.571428571428569</v>
      </c>
      <c r="U181">
        <v>1</v>
      </c>
      <c r="V181">
        <v>1</v>
      </c>
      <c r="W181">
        <v>1</v>
      </c>
      <c r="X181">
        <v>1</v>
      </c>
      <c r="Y181">
        <v>3</v>
      </c>
      <c r="Z181">
        <v>3</v>
      </c>
      <c r="AA181">
        <v>2</v>
      </c>
      <c r="AB181">
        <f t="shared" si="39"/>
        <v>12</v>
      </c>
      <c r="AC181">
        <f t="shared" si="40"/>
        <v>17.857142857142858</v>
      </c>
      <c r="AD181">
        <v>3</v>
      </c>
      <c r="AE181">
        <v>4</v>
      </c>
      <c r="AF181">
        <v>4</v>
      </c>
      <c r="AG181">
        <v>2</v>
      </c>
      <c r="AH181">
        <v>1</v>
      </c>
      <c r="AI181">
        <v>2</v>
      </c>
      <c r="AJ181">
        <v>1</v>
      </c>
      <c r="AK181">
        <f t="shared" si="41"/>
        <v>17</v>
      </c>
      <c r="AL181">
        <f t="shared" si="42"/>
        <v>35.714285714285715</v>
      </c>
      <c r="AM181">
        <v>1</v>
      </c>
      <c r="AN181">
        <v>1</v>
      </c>
      <c r="AO181">
        <v>2</v>
      </c>
      <c r="AP181">
        <v>2</v>
      </c>
      <c r="AQ181">
        <v>1</v>
      </c>
      <c r="AR181">
        <v>1</v>
      </c>
      <c r="AS181" s="1">
        <v>2</v>
      </c>
      <c r="AT181" s="1">
        <f t="shared" si="43"/>
        <v>10</v>
      </c>
      <c r="AU181" s="1">
        <f t="shared" si="44"/>
        <v>10.714285714285714</v>
      </c>
    </row>
    <row r="182" spans="1:47">
      <c r="A182" t="s">
        <v>210</v>
      </c>
      <c r="B182">
        <v>2</v>
      </c>
      <c r="C182">
        <v>2</v>
      </c>
      <c r="D182">
        <v>2</v>
      </c>
      <c r="E182">
        <v>2</v>
      </c>
      <c r="F182">
        <v>3</v>
      </c>
      <c r="G182">
        <v>2</v>
      </c>
      <c r="H182">
        <v>4</v>
      </c>
      <c r="I182">
        <v>4</v>
      </c>
      <c r="J182">
        <f t="shared" si="45"/>
        <v>21</v>
      </c>
      <c r="K182">
        <f t="shared" si="36"/>
        <v>40.625</v>
      </c>
      <c r="L182">
        <v>4</v>
      </c>
      <c r="M182">
        <v>2</v>
      </c>
      <c r="N182">
        <v>2</v>
      </c>
      <c r="O182">
        <v>2</v>
      </c>
      <c r="P182">
        <v>3</v>
      </c>
      <c r="R182">
        <v>2</v>
      </c>
      <c r="S182">
        <f t="shared" si="37"/>
        <v>15</v>
      </c>
      <c r="T182">
        <f t="shared" si="38"/>
        <v>28.571428571428569</v>
      </c>
      <c r="U182">
        <v>2</v>
      </c>
      <c r="V182">
        <v>1</v>
      </c>
      <c r="W182">
        <v>1</v>
      </c>
      <c r="X182">
        <v>1</v>
      </c>
      <c r="Y182">
        <v>4</v>
      </c>
      <c r="Z182">
        <v>2</v>
      </c>
      <c r="AA182">
        <v>2</v>
      </c>
      <c r="AB182">
        <f t="shared" si="39"/>
        <v>13</v>
      </c>
      <c r="AC182">
        <f t="shared" si="40"/>
        <v>21.428571428571427</v>
      </c>
      <c r="AD182">
        <v>2</v>
      </c>
      <c r="AE182">
        <v>3</v>
      </c>
      <c r="AF182">
        <v>3</v>
      </c>
      <c r="AG182">
        <v>4</v>
      </c>
      <c r="AH182">
        <v>2</v>
      </c>
      <c r="AI182">
        <v>4</v>
      </c>
      <c r="AJ182">
        <v>3</v>
      </c>
      <c r="AK182">
        <f t="shared" si="41"/>
        <v>21</v>
      </c>
      <c r="AL182">
        <f t="shared" si="42"/>
        <v>50</v>
      </c>
      <c r="AM182">
        <v>2</v>
      </c>
      <c r="AN182">
        <v>4</v>
      </c>
      <c r="AO182">
        <v>3</v>
      </c>
      <c r="AP182">
        <v>2</v>
      </c>
      <c r="AQ182">
        <v>2</v>
      </c>
      <c r="AR182">
        <v>2</v>
      </c>
      <c r="AS182" s="1">
        <v>3</v>
      </c>
      <c r="AT182" s="1">
        <f t="shared" si="43"/>
        <v>18</v>
      </c>
      <c r="AU182" s="1">
        <f t="shared" si="44"/>
        <v>39.285714285714285</v>
      </c>
    </row>
    <row r="183" spans="1:47">
      <c r="A183" t="s">
        <v>211</v>
      </c>
      <c r="B183">
        <v>1</v>
      </c>
      <c r="C183">
        <v>1</v>
      </c>
      <c r="D183">
        <v>1</v>
      </c>
      <c r="E183">
        <v>1</v>
      </c>
      <c r="F183">
        <v>1</v>
      </c>
      <c r="G183">
        <v>2</v>
      </c>
      <c r="H183">
        <v>1</v>
      </c>
      <c r="I183">
        <v>1</v>
      </c>
      <c r="J183">
        <f t="shared" si="45"/>
        <v>9</v>
      </c>
      <c r="K183">
        <f t="shared" si="36"/>
        <v>3.125</v>
      </c>
      <c r="L183">
        <v>2</v>
      </c>
      <c r="M183">
        <v>2</v>
      </c>
      <c r="N183">
        <v>1</v>
      </c>
      <c r="O183">
        <v>1</v>
      </c>
      <c r="P183">
        <v>1</v>
      </c>
      <c r="R183">
        <v>1</v>
      </c>
      <c r="S183">
        <f t="shared" si="37"/>
        <v>8</v>
      </c>
      <c r="T183">
        <f t="shared" si="38"/>
        <v>3.5714285714285712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  <c r="AB183">
        <f t="shared" si="39"/>
        <v>7</v>
      </c>
      <c r="AC183">
        <f t="shared" si="40"/>
        <v>0</v>
      </c>
      <c r="AD183">
        <v>1</v>
      </c>
      <c r="AE183">
        <v>1</v>
      </c>
      <c r="AF183">
        <v>1</v>
      </c>
      <c r="AG183">
        <v>1</v>
      </c>
      <c r="AH183">
        <v>1</v>
      </c>
      <c r="AI183">
        <v>1</v>
      </c>
      <c r="AJ183">
        <v>1</v>
      </c>
      <c r="AK183">
        <f t="shared" si="41"/>
        <v>7</v>
      </c>
      <c r="AL183">
        <f t="shared" si="42"/>
        <v>0</v>
      </c>
      <c r="AM183">
        <v>2</v>
      </c>
      <c r="AN183">
        <v>1</v>
      </c>
      <c r="AO183">
        <v>1</v>
      </c>
      <c r="AP183">
        <v>3</v>
      </c>
      <c r="AQ183">
        <v>3</v>
      </c>
      <c r="AR183">
        <v>1</v>
      </c>
      <c r="AS183" s="1">
        <v>1</v>
      </c>
      <c r="AT183" s="1">
        <f t="shared" si="43"/>
        <v>12</v>
      </c>
      <c r="AU183" s="1">
        <f t="shared" si="44"/>
        <v>17.857142857142858</v>
      </c>
    </row>
    <row r="184" spans="1:47">
      <c r="A184" t="s">
        <v>212</v>
      </c>
      <c r="B184">
        <v>2</v>
      </c>
      <c r="C184">
        <v>2</v>
      </c>
      <c r="D184">
        <v>1</v>
      </c>
      <c r="E184">
        <v>2</v>
      </c>
      <c r="F184">
        <v>1</v>
      </c>
      <c r="G184">
        <v>3</v>
      </c>
      <c r="H184">
        <v>4</v>
      </c>
      <c r="I184">
        <v>3</v>
      </c>
      <c r="J184">
        <f t="shared" si="45"/>
        <v>18</v>
      </c>
      <c r="K184">
        <f t="shared" si="36"/>
        <v>31.25</v>
      </c>
      <c r="L184">
        <v>3</v>
      </c>
      <c r="M184">
        <v>2</v>
      </c>
      <c r="N184">
        <v>2</v>
      </c>
      <c r="O184">
        <v>2</v>
      </c>
      <c r="P184">
        <v>2</v>
      </c>
      <c r="Q184">
        <v>1</v>
      </c>
      <c r="S184">
        <f t="shared" si="37"/>
        <v>12</v>
      </c>
      <c r="T184">
        <f t="shared" si="38"/>
        <v>17.857142857142858</v>
      </c>
      <c r="U184">
        <v>2</v>
      </c>
      <c r="V184">
        <v>1</v>
      </c>
      <c r="W184">
        <v>2</v>
      </c>
      <c r="X184">
        <v>1</v>
      </c>
      <c r="Y184">
        <v>1</v>
      </c>
      <c r="Z184">
        <v>2</v>
      </c>
      <c r="AA184">
        <v>4</v>
      </c>
      <c r="AB184">
        <f t="shared" si="39"/>
        <v>13</v>
      </c>
      <c r="AC184">
        <f t="shared" si="40"/>
        <v>21.428571428571427</v>
      </c>
      <c r="AD184">
        <v>2</v>
      </c>
      <c r="AE184">
        <v>2</v>
      </c>
      <c r="AF184">
        <v>4</v>
      </c>
      <c r="AG184">
        <v>3</v>
      </c>
      <c r="AI184">
        <v>2</v>
      </c>
      <c r="AJ184">
        <v>2</v>
      </c>
      <c r="AK184">
        <f t="shared" si="41"/>
        <v>15</v>
      </c>
      <c r="AL184">
        <f t="shared" si="42"/>
        <v>28.571428571428569</v>
      </c>
      <c r="AM184">
        <v>3</v>
      </c>
      <c r="AN184">
        <v>3</v>
      </c>
      <c r="AO184">
        <v>4</v>
      </c>
      <c r="AP184">
        <v>4</v>
      </c>
      <c r="AQ184">
        <v>3</v>
      </c>
      <c r="AR184">
        <v>2</v>
      </c>
      <c r="AS184" s="1">
        <v>2</v>
      </c>
      <c r="AT184" s="1">
        <f t="shared" si="43"/>
        <v>21</v>
      </c>
      <c r="AU184" s="1">
        <f t="shared" si="44"/>
        <v>50</v>
      </c>
    </row>
    <row r="185" spans="1:47">
      <c r="A185" t="s">
        <v>213</v>
      </c>
      <c r="B185">
        <v>2</v>
      </c>
      <c r="C185">
        <v>1</v>
      </c>
      <c r="D185">
        <v>1</v>
      </c>
      <c r="E185">
        <v>1</v>
      </c>
      <c r="F185">
        <v>1</v>
      </c>
      <c r="G185">
        <v>4</v>
      </c>
      <c r="H185">
        <v>4</v>
      </c>
      <c r="I185">
        <v>3</v>
      </c>
      <c r="J185">
        <f t="shared" si="45"/>
        <v>17</v>
      </c>
      <c r="K185">
        <f t="shared" si="36"/>
        <v>28.125</v>
      </c>
      <c r="L185">
        <v>3</v>
      </c>
      <c r="M185">
        <v>1</v>
      </c>
      <c r="N185">
        <v>2</v>
      </c>
      <c r="O185">
        <v>1</v>
      </c>
      <c r="P185">
        <v>1</v>
      </c>
      <c r="R185">
        <v>1</v>
      </c>
      <c r="S185">
        <f t="shared" si="37"/>
        <v>9</v>
      </c>
      <c r="T185">
        <f t="shared" si="38"/>
        <v>7.1428571428571423</v>
      </c>
      <c r="U185">
        <v>1</v>
      </c>
      <c r="V185">
        <v>1</v>
      </c>
      <c r="W185">
        <v>1</v>
      </c>
      <c r="X185">
        <v>1</v>
      </c>
      <c r="Y185">
        <v>5</v>
      </c>
      <c r="Z185">
        <v>3</v>
      </c>
      <c r="AA185">
        <v>3</v>
      </c>
      <c r="AB185">
        <f t="shared" si="39"/>
        <v>15</v>
      </c>
      <c r="AC185">
        <f t="shared" si="40"/>
        <v>28.571428571428569</v>
      </c>
      <c r="AD185">
        <v>1</v>
      </c>
      <c r="AE185">
        <v>1</v>
      </c>
      <c r="AF185">
        <v>2</v>
      </c>
      <c r="AG185">
        <v>2</v>
      </c>
      <c r="AH185">
        <v>1</v>
      </c>
      <c r="AI185">
        <v>1</v>
      </c>
      <c r="AJ185">
        <v>1</v>
      </c>
      <c r="AK185">
        <f t="shared" si="41"/>
        <v>9</v>
      </c>
      <c r="AL185">
        <f t="shared" si="42"/>
        <v>7.1428571428571423</v>
      </c>
      <c r="AM185">
        <v>4</v>
      </c>
      <c r="AN185">
        <v>3</v>
      </c>
      <c r="AO185">
        <v>1</v>
      </c>
      <c r="AP185">
        <v>5</v>
      </c>
      <c r="AQ185">
        <v>1</v>
      </c>
      <c r="AR185">
        <v>1</v>
      </c>
      <c r="AS185" s="1">
        <v>2</v>
      </c>
      <c r="AT185" s="1">
        <f t="shared" si="43"/>
        <v>17</v>
      </c>
      <c r="AU185" s="1">
        <f t="shared" si="44"/>
        <v>35.714285714285715</v>
      </c>
    </row>
    <row r="186" spans="1:47">
      <c r="A186" t="s">
        <v>214</v>
      </c>
      <c r="B186">
        <v>1</v>
      </c>
      <c r="C186">
        <v>2</v>
      </c>
      <c r="D186">
        <v>2</v>
      </c>
      <c r="E186">
        <v>5</v>
      </c>
      <c r="F186">
        <v>1</v>
      </c>
      <c r="G186">
        <v>1</v>
      </c>
      <c r="H186">
        <v>1</v>
      </c>
      <c r="I186">
        <v>2</v>
      </c>
      <c r="J186">
        <f t="shared" si="45"/>
        <v>15</v>
      </c>
      <c r="K186">
        <f t="shared" si="36"/>
        <v>21.875</v>
      </c>
      <c r="L186">
        <v>5</v>
      </c>
      <c r="M186">
        <v>5</v>
      </c>
      <c r="N186">
        <v>1</v>
      </c>
      <c r="O186">
        <v>1</v>
      </c>
      <c r="P186">
        <v>1</v>
      </c>
      <c r="Q186">
        <v>2</v>
      </c>
      <c r="S186">
        <f t="shared" si="37"/>
        <v>15</v>
      </c>
      <c r="T186">
        <f t="shared" si="38"/>
        <v>28.571428571428569</v>
      </c>
      <c r="U186">
        <v>1</v>
      </c>
      <c r="V186">
        <v>1</v>
      </c>
      <c r="W186">
        <v>1</v>
      </c>
      <c r="X186">
        <v>1</v>
      </c>
      <c r="Y186">
        <v>5</v>
      </c>
      <c r="Z186">
        <v>2</v>
      </c>
      <c r="AA186">
        <v>3</v>
      </c>
      <c r="AB186">
        <f t="shared" si="39"/>
        <v>14</v>
      </c>
      <c r="AC186">
        <f t="shared" si="40"/>
        <v>25</v>
      </c>
      <c r="AD186">
        <v>2</v>
      </c>
      <c r="AE186">
        <v>1</v>
      </c>
      <c r="AF186">
        <v>3</v>
      </c>
      <c r="AG186">
        <v>1</v>
      </c>
      <c r="AH186">
        <v>1</v>
      </c>
      <c r="AI186">
        <v>1</v>
      </c>
      <c r="AJ186">
        <v>1</v>
      </c>
      <c r="AK186">
        <f t="shared" si="41"/>
        <v>10</v>
      </c>
      <c r="AL186">
        <f t="shared" si="42"/>
        <v>10.714285714285714</v>
      </c>
      <c r="AM186">
        <v>1</v>
      </c>
      <c r="AN186">
        <v>1</v>
      </c>
      <c r="AO186">
        <v>1</v>
      </c>
      <c r="AP186">
        <v>1</v>
      </c>
      <c r="AQ186">
        <v>1</v>
      </c>
      <c r="AR186">
        <v>1</v>
      </c>
      <c r="AS186" s="1">
        <v>1</v>
      </c>
      <c r="AT186" s="1">
        <f t="shared" si="43"/>
        <v>7</v>
      </c>
      <c r="AU186" s="1">
        <f t="shared" si="44"/>
        <v>0</v>
      </c>
    </row>
    <row r="187" spans="1:47">
      <c r="A187" t="s">
        <v>215</v>
      </c>
      <c r="B187">
        <v>1</v>
      </c>
      <c r="C187">
        <v>1</v>
      </c>
      <c r="D187">
        <v>2</v>
      </c>
      <c r="E187">
        <v>2</v>
      </c>
      <c r="F187">
        <v>1</v>
      </c>
      <c r="G187">
        <v>1</v>
      </c>
      <c r="H187">
        <v>1</v>
      </c>
      <c r="I187">
        <v>1</v>
      </c>
      <c r="J187">
        <f t="shared" si="45"/>
        <v>10</v>
      </c>
      <c r="K187">
        <f t="shared" si="36"/>
        <v>6.25</v>
      </c>
      <c r="L187">
        <v>5</v>
      </c>
      <c r="M187">
        <v>1</v>
      </c>
      <c r="N187">
        <v>1</v>
      </c>
      <c r="O187">
        <v>1</v>
      </c>
      <c r="P187">
        <v>1</v>
      </c>
      <c r="Q187">
        <v>1</v>
      </c>
      <c r="S187">
        <f t="shared" si="37"/>
        <v>10</v>
      </c>
      <c r="T187">
        <f t="shared" si="38"/>
        <v>10.714285714285714</v>
      </c>
      <c r="U187">
        <v>1</v>
      </c>
      <c r="V187">
        <v>1</v>
      </c>
      <c r="W187">
        <v>1</v>
      </c>
      <c r="X187">
        <v>1</v>
      </c>
      <c r="Y187">
        <v>2</v>
      </c>
      <c r="Z187">
        <v>4</v>
      </c>
      <c r="AA187">
        <v>1</v>
      </c>
      <c r="AB187">
        <f t="shared" si="39"/>
        <v>11</v>
      </c>
      <c r="AC187">
        <f t="shared" si="40"/>
        <v>14.285714285714285</v>
      </c>
      <c r="AD187">
        <v>1</v>
      </c>
      <c r="AE187">
        <v>2</v>
      </c>
      <c r="AF187">
        <v>1</v>
      </c>
      <c r="AG187">
        <v>4</v>
      </c>
      <c r="AH187">
        <v>1</v>
      </c>
      <c r="AI187">
        <v>2</v>
      </c>
      <c r="AJ187">
        <v>1</v>
      </c>
      <c r="AK187">
        <f t="shared" si="41"/>
        <v>12</v>
      </c>
      <c r="AL187">
        <f t="shared" si="42"/>
        <v>17.857142857142858</v>
      </c>
      <c r="AM187">
        <v>5</v>
      </c>
      <c r="AN187">
        <v>4</v>
      </c>
      <c r="AO187">
        <v>1</v>
      </c>
      <c r="AP187">
        <v>1</v>
      </c>
      <c r="AQ187">
        <v>1</v>
      </c>
      <c r="AR187">
        <v>1</v>
      </c>
      <c r="AS187" s="1">
        <v>4</v>
      </c>
      <c r="AT187" s="1">
        <f t="shared" si="43"/>
        <v>17</v>
      </c>
      <c r="AU187" s="1">
        <f t="shared" si="44"/>
        <v>35.714285714285715</v>
      </c>
    </row>
    <row r="188" spans="1:47">
      <c r="A188" t="s">
        <v>216</v>
      </c>
      <c r="B188">
        <v>3</v>
      </c>
      <c r="C188">
        <v>3</v>
      </c>
      <c r="D188">
        <v>2</v>
      </c>
      <c r="E188">
        <v>4</v>
      </c>
      <c r="F188">
        <v>1</v>
      </c>
      <c r="G188">
        <v>2</v>
      </c>
      <c r="H188">
        <v>1</v>
      </c>
      <c r="I188">
        <v>2</v>
      </c>
      <c r="J188">
        <f t="shared" si="45"/>
        <v>18</v>
      </c>
      <c r="K188">
        <f t="shared" si="36"/>
        <v>31.25</v>
      </c>
      <c r="L188">
        <v>4</v>
      </c>
      <c r="M188">
        <v>1</v>
      </c>
      <c r="N188">
        <v>1</v>
      </c>
      <c r="O188">
        <v>1</v>
      </c>
      <c r="P188">
        <v>3</v>
      </c>
      <c r="R188">
        <v>1</v>
      </c>
      <c r="S188">
        <f t="shared" si="37"/>
        <v>11</v>
      </c>
      <c r="T188">
        <f t="shared" si="38"/>
        <v>14.285714285714285</v>
      </c>
      <c r="U188">
        <v>1</v>
      </c>
      <c r="V188">
        <v>1</v>
      </c>
      <c r="W188">
        <v>1</v>
      </c>
      <c r="X188">
        <v>1</v>
      </c>
      <c r="Y188">
        <v>4</v>
      </c>
      <c r="Z188">
        <v>5</v>
      </c>
      <c r="AA188">
        <v>1</v>
      </c>
      <c r="AB188">
        <f t="shared" si="39"/>
        <v>14</v>
      </c>
      <c r="AC188">
        <f t="shared" si="40"/>
        <v>25</v>
      </c>
      <c r="AD188">
        <v>3</v>
      </c>
      <c r="AE188">
        <v>2</v>
      </c>
      <c r="AF188">
        <v>3</v>
      </c>
      <c r="AG188">
        <v>1</v>
      </c>
      <c r="AH188">
        <v>1</v>
      </c>
      <c r="AI188">
        <v>4</v>
      </c>
      <c r="AJ188">
        <v>1</v>
      </c>
      <c r="AK188">
        <f t="shared" si="41"/>
        <v>15</v>
      </c>
      <c r="AL188">
        <f t="shared" si="42"/>
        <v>28.571428571428569</v>
      </c>
      <c r="AM188">
        <v>4</v>
      </c>
      <c r="AN188">
        <v>5</v>
      </c>
      <c r="AO188">
        <v>2</v>
      </c>
      <c r="AP188">
        <v>4</v>
      </c>
      <c r="AQ188">
        <v>5</v>
      </c>
      <c r="AR188">
        <v>1</v>
      </c>
      <c r="AS188" s="1">
        <v>4</v>
      </c>
      <c r="AT188" s="1">
        <f t="shared" si="43"/>
        <v>25</v>
      </c>
      <c r="AU188" s="1">
        <f t="shared" si="44"/>
        <v>64.285714285714292</v>
      </c>
    </row>
    <row r="189" spans="1:47">
      <c r="A189" t="s">
        <v>217</v>
      </c>
      <c r="B189">
        <v>1</v>
      </c>
      <c r="C189">
        <v>3</v>
      </c>
      <c r="D189">
        <v>5</v>
      </c>
      <c r="E189">
        <v>3</v>
      </c>
      <c r="F189">
        <v>1</v>
      </c>
      <c r="G189">
        <v>1</v>
      </c>
      <c r="H189">
        <v>1</v>
      </c>
      <c r="I189">
        <v>1</v>
      </c>
      <c r="J189">
        <f t="shared" si="45"/>
        <v>16</v>
      </c>
      <c r="K189">
        <f t="shared" si="36"/>
        <v>25</v>
      </c>
      <c r="L189">
        <v>4</v>
      </c>
      <c r="M189">
        <v>5</v>
      </c>
      <c r="N189">
        <v>2</v>
      </c>
      <c r="O189">
        <v>1</v>
      </c>
      <c r="P189">
        <v>3</v>
      </c>
      <c r="R189">
        <v>2</v>
      </c>
      <c r="S189">
        <f t="shared" si="37"/>
        <v>17</v>
      </c>
      <c r="T189">
        <f t="shared" si="38"/>
        <v>35.714285714285715</v>
      </c>
      <c r="U189">
        <v>1</v>
      </c>
      <c r="V189">
        <v>1</v>
      </c>
      <c r="W189">
        <v>3</v>
      </c>
      <c r="X189">
        <v>1</v>
      </c>
      <c r="Y189">
        <v>5</v>
      </c>
      <c r="Z189">
        <v>5</v>
      </c>
      <c r="AA189">
        <v>3</v>
      </c>
      <c r="AB189">
        <f t="shared" si="39"/>
        <v>19</v>
      </c>
      <c r="AC189">
        <f t="shared" si="40"/>
        <v>42.857142857142854</v>
      </c>
      <c r="AD189">
        <v>3</v>
      </c>
      <c r="AE189">
        <v>4</v>
      </c>
      <c r="AF189">
        <v>4</v>
      </c>
      <c r="AG189">
        <v>5</v>
      </c>
      <c r="AH189">
        <v>1</v>
      </c>
      <c r="AI189">
        <v>4</v>
      </c>
      <c r="AJ189">
        <v>1</v>
      </c>
      <c r="AK189">
        <f t="shared" si="41"/>
        <v>22</v>
      </c>
      <c r="AL189">
        <f t="shared" si="42"/>
        <v>53.571428571428569</v>
      </c>
      <c r="AM189">
        <v>3</v>
      </c>
      <c r="AN189">
        <v>4</v>
      </c>
      <c r="AO189">
        <v>2</v>
      </c>
      <c r="AP189">
        <v>5</v>
      </c>
      <c r="AQ189">
        <v>1</v>
      </c>
      <c r="AR189">
        <v>1</v>
      </c>
      <c r="AS189" s="1">
        <v>1</v>
      </c>
      <c r="AT189" s="1">
        <f t="shared" si="43"/>
        <v>17</v>
      </c>
      <c r="AU189" s="1">
        <f t="shared" si="44"/>
        <v>35.714285714285715</v>
      </c>
    </row>
    <row r="190" spans="1:47">
      <c r="A190" t="s">
        <v>218</v>
      </c>
      <c r="B190">
        <v>2</v>
      </c>
      <c r="C190">
        <v>1</v>
      </c>
      <c r="D190">
        <v>1</v>
      </c>
      <c r="E190">
        <v>4</v>
      </c>
      <c r="F190">
        <v>3</v>
      </c>
      <c r="G190">
        <v>4</v>
      </c>
      <c r="H190">
        <v>1</v>
      </c>
      <c r="I190">
        <v>2</v>
      </c>
      <c r="J190">
        <f t="shared" si="45"/>
        <v>18</v>
      </c>
      <c r="K190">
        <f t="shared" si="36"/>
        <v>31.25</v>
      </c>
      <c r="L190">
        <v>5</v>
      </c>
      <c r="M190">
        <v>5</v>
      </c>
      <c r="N190">
        <v>5</v>
      </c>
      <c r="O190">
        <v>2</v>
      </c>
      <c r="P190">
        <v>3</v>
      </c>
      <c r="Q190">
        <v>3</v>
      </c>
      <c r="S190">
        <f t="shared" si="37"/>
        <v>23</v>
      </c>
      <c r="T190">
        <f t="shared" si="38"/>
        <v>57.142857142857139</v>
      </c>
      <c r="U190">
        <v>1</v>
      </c>
      <c r="V190">
        <v>1</v>
      </c>
      <c r="W190">
        <v>2</v>
      </c>
      <c r="X190">
        <v>2</v>
      </c>
      <c r="Y190">
        <v>4</v>
      </c>
      <c r="Z190">
        <v>3</v>
      </c>
      <c r="AA190">
        <v>2</v>
      </c>
      <c r="AB190">
        <f t="shared" si="39"/>
        <v>15</v>
      </c>
      <c r="AC190">
        <f t="shared" si="40"/>
        <v>28.571428571428569</v>
      </c>
      <c r="AD190">
        <v>2</v>
      </c>
      <c r="AE190">
        <v>2</v>
      </c>
      <c r="AF190">
        <v>2</v>
      </c>
      <c r="AG190">
        <v>2</v>
      </c>
      <c r="AH190">
        <v>2</v>
      </c>
      <c r="AI190">
        <v>3</v>
      </c>
      <c r="AJ190">
        <v>1</v>
      </c>
      <c r="AK190">
        <f t="shared" si="41"/>
        <v>14</v>
      </c>
      <c r="AL190">
        <f t="shared" si="42"/>
        <v>25</v>
      </c>
      <c r="AM190">
        <v>4</v>
      </c>
      <c r="AN190">
        <v>1</v>
      </c>
      <c r="AO190">
        <v>1</v>
      </c>
      <c r="AP190">
        <v>1</v>
      </c>
      <c r="AQ190">
        <v>1</v>
      </c>
      <c r="AR190">
        <v>1</v>
      </c>
      <c r="AS190" s="1">
        <v>2</v>
      </c>
      <c r="AT190" s="1">
        <f t="shared" si="43"/>
        <v>11</v>
      </c>
      <c r="AU190" s="1">
        <f t="shared" si="44"/>
        <v>14.285714285714285</v>
      </c>
    </row>
    <row r="191" spans="1:47">
      <c r="A191" t="s">
        <v>219</v>
      </c>
      <c r="B191">
        <v>1</v>
      </c>
      <c r="C191">
        <v>1</v>
      </c>
      <c r="D191">
        <v>3</v>
      </c>
      <c r="E191">
        <v>3</v>
      </c>
      <c r="F191">
        <v>1</v>
      </c>
      <c r="G191">
        <v>2</v>
      </c>
      <c r="H191">
        <v>2</v>
      </c>
      <c r="I191">
        <v>1</v>
      </c>
      <c r="J191">
        <f t="shared" si="45"/>
        <v>14</v>
      </c>
      <c r="K191">
        <f t="shared" si="36"/>
        <v>18.75</v>
      </c>
      <c r="L191">
        <v>4</v>
      </c>
      <c r="M191">
        <v>1</v>
      </c>
      <c r="N191">
        <v>1</v>
      </c>
      <c r="O191">
        <v>1</v>
      </c>
      <c r="P191">
        <v>3</v>
      </c>
      <c r="Q191">
        <v>1</v>
      </c>
      <c r="S191">
        <f t="shared" si="37"/>
        <v>11</v>
      </c>
      <c r="T191">
        <f t="shared" si="38"/>
        <v>14.285714285714285</v>
      </c>
      <c r="U191">
        <v>1</v>
      </c>
      <c r="V191">
        <v>1</v>
      </c>
      <c r="W191">
        <v>2</v>
      </c>
      <c r="X191">
        <v>1</v>
      </c>
      <c r="Y191">
        <v>2</v>
      </c>
      <c r="Z191">
        <v>3</v>
      </c>
      <c r="AA191">
        <v>2</v>
      </c>
      <c r="AB191">
        <f t="shared" si="39"/>
        <v>12</v>
      </c>
      <c r="AC191">
        <f t="shared" si="40"/>
        <v>17.857142857142858</v>
      </c>
      <c r="AD191">
        <v>1</v>
      </c>
      <c r="AE191">
        <v>3</v>
      </c>
      <c r="AF191">
        <v>2</v>
      </c>
      <c r="AG191">
        <v>1</v>
      </c>
      <c r="AH191">
        <v>1</v>
      </c>
      <c r="AI191">
        <v>3</v>
      </c>
      <c r="AJ191">
        <v>1</v>
      </c>
      <c r="AK191">
        <f t="shared" si="41"/>
        <v>12</v>
      </c>
      <c r="AL191">
        <f t="shared" si="42"/>
        <v>17.857142857142858</v>
      </c>
      <c r="AM191">
        <v>4</v>
      </c>
      <c r="AN191">
        <v>4</v>
      </c>
      <c r="AO191">
        <v>1</v>
      </c>
      <c r="AP191">
        <v>3</v>
      </c>
      <c r="AQ191">
        <v>2</v>
      </c>
      <c r="AR191">
        <v>1</v>
      </c>
      <c r="AS191" s="1">
        <v>3</v>
      </c>
      <c r="AT191" s="1">
        <f t="shared" si="43"/>
        <v>18</v>
      </c>
      <c r="AU191" s="1">
        <f t="shared" si="44"/>
        <v>39.285714285714285</v>
      </c>
    </row>
    <row r="192" spans="1:47">
      <c r="A192" t="s">
        <v>220</v>
      </c>
      <c r="B192">
        <v>1</v>
      </c>
      <c r="C192">
        <v>1</v>
      </c>
      <c r="D192">
        <v>2</v>
      </c>
      <c r="E192">
        <v>5</v>
      </c>
      <c r="F192">
        <v>1</v>
      </c>
      <c r="G192">
        <v>2</v>
      </c>
      <c r="H192">
        <v>1</v>
      </c>
      <c r="I192">
        <v>2</v>
      </c>
      <c r="J192">
        <f t="shared" si="45"/>
        <v>15</v>
      </c>
      <c r="K192">
        <f t="shared" si="36"/>
        <v>21.875</v>
      </c>
      <c r="L192">
        <v>4</v>
      </c>
      <c r="M192">
        <v>4</v>
      </c>
      <c r="N192">
        <v>2</v>
      </c>
      <c r="O192">
        <v>1</v>
      </c>
      <c r="P192">
        <v>1</v>
      </c>
      <c r="Q192">
        <v>2</v>
      </c>
      <c r="S192">
        <f t="shared" si="37"/>
        <v>14</v>
      </c>
      <c r="T192">
        <f t="shared" si="38"/>
        <v>25</v>
      </c>
      <c r="U192">
        <v>1</v>
      </c>
      <c r="V192">
        <v>1</v>
      </c>
      <c r="W192">
        <v>1</v>
      </c>
      <c r="X192">
        <v>1</v>
      </c>
      <c r="Y192">
        <v>4</v>
      </c>
      <c r="Z192">
        <v>3</v>
      </c>
      <c r="AA192">
        <v>2</v>
      </c>
      <c r="AB192">
        <f t="shared" si="39"/>
        <v>13</v>
      </c>
      <c r="AC192">
        <f t="shared" si="40"/>
        <v>21.428571428571427</v>
      </c>
      <c r="AD192">
        <v>2</v>
      </c>
      <c r="AE192">
        <v>2</v>
      </c>
      <c r="AF192">
        <v>1</v>
      </c>
      <c r="AG192">
        <v>1</v>
      </c>
      <c r="AH192">
        <v>1</v>
      </c>
      <c r="AI192">
        <v>1</v>
      </c>
      <c r="AJ192">
        <v>1</v>
      </c>
      <c r="AK192">
        <f t="shared" si="41"/>
        <v>9</v>
      </c>
      <c r="AL192">
        <f t="shared" si="42"/>
        <v>7.1428571428571423</v>
      </c>
      <c r="AM192">
        <v>3</v>
      </c>
      <c r="AN192">
        <v>2</v>
      </c>
      <c r="AO192">
        <v>1</v>
      </c>
      <c r="AP192">
        <v>1</v>
      </c>
      <c r="AQ192">
        <v>1</v>
      </c>
      <c r="AR192">
        <v>1</v>
      </c>
      <c r="AS192" s="1">
        <v>4</v>
      </c>
      <c r="AT192" s="1">
        <f t="shared" si="43"/>
        <v>13</v>
      </c>
      <c r="AU192" s="1">
        <f t="shared" si="44"/>
        <v>21.428571428571427</v>
      </c>
    </row>
    <row r="193" spans="1:47">
      <c r="A193" t="s">
        <v>221</v>
      </c>
      <c r="B193">
        <v>2</v>
      </c>
      <c r="C193">
        <v>1</v>
      </c>
      <c r="D193">
        <v>2</v>
      </c>
      <c r="E193">
        <v>3</v>
      </c>
      <c r="F193">
        <v>1</v>
      </c>
      <c r="G193">
        <v>1</v>
      </c>
      <c r="H193">
        <v>4</v>
      </c>
      <c r="I193">
        <v>1</v>
      </c>
      <c r="J193">
        <f t="shared" si="45"/>
        <v>15</v>
      </c>
      <c r="K193">
        <f t="shared" si="36"/>
        <v>21.875</v>
      </c>
      <c r="L193">
        <v>4</v>
      </c>
      <c r="M193">
        <v>2</v>
      </c>
      <c r="N193">
        <v>1</v>
      </c>
      <c r="O193">
        <v>1</v>
      </c>
      <c r="P193">
        <v>2</v>
      </c>
      <c r="Q193">
        <v>1</v>
      </c>
      <c r="S193">
        <f t="shared" si="37"/>
        <v>11</v>
      </c>
      <c r="T193">
        <f t="shared" si="38"/>
        <v>14.285714285714285</v>
      </c>
      <c r="U193">
        <v>1</v>
      </c>
      <c r="W193">
        <v>1</v>
      </c>
      <c r="X193">
        <v>1</v>
      </c>
      <c r="Y193">
        <v>3</v>
      </c>
      <c r="Z193">
        <v>3</v>
      </c>
      <c r="AA193">
        <v>2</v>
      </c>
      <c r="AB193">
        <f t="shared" si="39"/>
        <v>11</v>
      </c>
      <c r="AC193">
        <f t="shared" si="40"/>
        <v>14.285714285714285</v>
      </c>
      <c r="AD193">
        <v>1</v>
      </c>
      <c r="AE193">
        <v>3</v>
      </c>
      <c r="AF193">
        <v>3</v>
      </c>
      <c r="AG193">
        <v>2</v>
      </c>
      <c r="AH193">
        <v>1</v>
      </c>
      <c r="AI193">
        <v>2</v>
      </c>
      <c r="AJ193">
        <v>1</v>
      </c>
      <c r="AK193">
        <f t="shared" si="41"/>
        <v>13</v>
      </c>
      <c r="AL193">
        <f t="shared" si="42"/>
        <v>21.428571428571427</v>
      </c>
      <c r="AM193">
        <v>5</v>
      </c>
      <c r="AN193">
        <v>3</v>
      </c>
      <c r="AO193">
        <v>1</v>
      </c>
      <c r="AP193">
        <v>5</v>
      </c>
      <c r="AQ193">
        <v>3</v>
      </c>
      <c r="AR193">
        <v>1</v>
      </c>
      <c r="AS193" s="1">
        <v>4</v>
      </c>
      <c r="AT193" s="1">
        <f t="shared" si="43"/>
        <v>22</v>
      </c>
      <c r="AU193" s="1">
        <f t="shared" si="44"/>
        <v>53.571428571428569</v>
      </c>
    </row>
    <row r="194" spans="1:47">
      <c r="A194" t="s">
        <v>222</v>
      </c>
      <c r="B194">
        <v>1</v>
      </c>
      <c r="C194">
        <v>1</v>
      </c>
      <c r="D194">
        <v>2</v>
      </c>
      <c r="E194">
        <v>4</v>
      </c>
      <c r="F194">
        <v>1</v>
      </c>
      <c r="G194">
        <v>1</v>
      </c>
      <c r="H194">
        <v>1</v>
      </c>
      <c r="I194">
        <v>2</v>
      </c>
      <c r="J194">
        <f t="shared" si="45"/>
        <v>13</v>
      </c>
      <c r="K194">
        <f t="shared" si="36"/>
        <v>15.625</v>
      </c>
      <c r="L194">
        <v>4</v>
      </c>
      <c r="M194">
        <v>1</v>
      </c>
      <c r="N194">
        <v>3</v>
      </c>
      <c r="O194">
        <v>2</v>
      </c>
      <c r="P194">
        <v>1</v>
      </c>
      <c r="Q194">
        <v>5</v>
      </c>
      <c r="S194">
        <f t="shared" si="37"/>
        <v>16</v>
      </c>
      <c r="T194">
        <f t="shared" si="38"/>
        <v>32.142857142857146</v>
      </c>
      <c r="U194">
        <v>1</v>
      </c>
      <c r="V194">
        <v>2</v>
      </c>
      <c r="W194">
        <v>2</v>
      </c>
      <c r="X194">
        <v>2</v>
      </c>
      <c r="Y194">
        <v>5</v>
      </c>
      <c r="Z194">
        <v>5</v>
      </c>
      <c r="AA194">
        <v>1</v>
      </c>
      <c r="AB194">
        <f t="shared" si="39"/>
        <v>18</v>
      </c>
      <c r="AC194">
        <f t="shared" si="40"/>
        <v>39.285714285714285</v>
      </c>
      <c r="AD194">
        <v>2</v>
      </c>
      <c r="AE194">
        <v>2</v>
      </c>
      <c r="AF194">
        <v>1</v>
      </c>
      <c r="AG194">
        <v>2</v>
      </c>
      <c r="AH194">
        <v>1</v>
      </c>
      <c r="AI194">
        <v>2</v>
      </c>
      <c r="AJ194">
        <v>1</v>
      </c>
      <c r="AK194">
        <f t="shared" si="41"/>
        <v>11</v>
      </c>
      <c r="AL194">
        <f t="shared" si="42"/>
        <v>14.285714285714285</v>
      </c>
      <c r="AM194">
        <v>2</v>
      </c>
      <c r="AN194">
        <v>1</v>
      </c>
      <c r="AO194">
        <v>1</v>
      </c>
      <c r="AP194">
        <v>1</v>
      </c>
      <c r="AQ194">
        <v>2</v>
      </c>
      <c r="AR194">
        <v>2</v>
      </c>
      <c r="AS194" s="1">
        <v>1</v>
      </c>
      <c r="AT194" s="1">
        <f t="shared" si="43"/>
        <v>10</v>
      </c>
      <c r="AU194" s="1">
        <f t="shared" si="44"/>
        <v>10.714285714285714</v>
      </c>
    </row>
    <row r="195" spans="1:47">
      <c r="A195" t="s">
        <v>223</v>
      </c>
      <c r="B195">
        <v>2</v>
      </c>
      <c r="C195">
        <v>3</v>
      </c>
      <c r="D195">
        <v>1</v>
      </c>
      <c r="E195">
        <v>2</v>
      </c>
      <c r="F195">
        <v>2</v>
      </c>
      <c r="G195">
        <v>4</v>
      </c>
      <c r="H195">
        <v>4</v>
      </c>
      <c r="I195">
        <v>3</v>
      </c>
      <c r="J195">
        <f t="shared" si="45"/>
        <v>21</v>
      </c>
      <c r="K195">
        <f t="shared" si="36"/>
        <v>40.625</v>
      </c>
      <c r="L195">
        <v>2</v>
      </c>
      <c r="M195">
        <v>2</v>
      </c>
      <c r="N195">
        <v>2</v>
      </c>
      <c r="O195">
        <v>2</v>
      </c>
      <c r="P195">
        <v>2</v>
      </c>
      <c r="R195">
        <v>2</v>
      </c>
      <c r="S195">
        <f t="shared" si="37"/>
        <v>12</v>
      </c>
      <c r="T195">
        <f t="shared" si="38"/>
        <v>17.857142857142858</v>
      </c>
      <c r="U195">
        <v>1</v>
      </c>
      <c r="V195">
        <v>1</v>
      </c>
      <c r="W195">
        <v>2</v>
      </c>
      <c r="X195">
        <v>1</v>
      </c>
      <c r="Y195">
        <v>2</v>
      </c>
      <c r="Z195">
        <v>3</v>
      </c>
      <c r="AA195">
        <v>2</v>
      </c>
      <c r="AB195">
        <f t="shared" si="39"/>
        <v>12</v>
      </c>
      <c r="AC195">
        <f t="shared" si="40"/>
        <v>17.857142857142858</v>
      </c>
      <c r="AD195">
        <v>3</v>
      </c>
      <c r="AE195">
        <v>3</v>
      </c>
      <c r="AF195">
        <v>2</v>
      </c>
      <c r="AG195">
        <v>2</v>
      </c>
      <c r="AH195">
        <v>1</v>
      </c>
      <c r="AI195">
        <v>2</v>
      </c>
      <c r="AJ195">
        <v>3</v>
      </c>
      <c r="AK195">
        <f t="shared" si="41"/>
        <v>16</v>
      </c>
      <c r="AL195">
        <f t="shared" si="42"/>
        <v>32.142857142857146</v>
      </c>
      <c r="AM195">
        <v>2</v>
      </c>
      <c r="AN195">
        <v>2</v>
      </c>
      <c r="AO195">
        <v>1</v>
      </c>
      <c r="AP195">
        <v>2</v>
      </c>
      <c r="AQ195">
        <v>1</v>
      </c>
      <c r="AR195">
        <v>1</v>
      </c>
      <c r="AS195" s="1">
        <v>2</v>
      </c>
      <c r="AT195" s="1">
        <f t="shared" si="43"/>
        <v>11</v>
      </c>
      <c r="AU195" s="1">
        <f t="shared" si="44"/>
        <v>14.285714285714285</v>
      </c>
    </row>
    <row r="196" spans="1:47">
      <c r="A196" t="s">
        <v>224</v>
      </c>
      <c r="B196">
        <v>2</v>
      </c>
      <c r="C196">
        <v>3</v>
      </c>
      <c r="D196">
        <v>3</v>
      </c>
      <c r="E196">
        <v>2</v>
      </c>
      <c r="F196">
        <v>2</v>
      </c>
      <c r="G196">
        <v>1</v>
      </c>
      <c r="H196">
        <v>2</v>
      </c>
      <c r="I196">
        <v>2</v>
      </c>
      <c r="J196">
        <f t="shared" si="45"/>
        <v>17</v>
      </c>
      <c r="K196">
        <f t="shared" si="36"/>
        <v>28.125</v>
      </c>
      <c r="L196">
        <v>2</v>
      </c>
      <c r="M196">
        <v>2</v>
      </c>
      <c r="N196">
        <v>1</v>
      </c>
      <c r="O196">
        <v>2</v>
      </c>
      <c r="P196">
        <v>2</v>
      </c>
      <c r="Q196">
        <v>1</v>
      </c>
      <c r="S196">
        <f t="shared" si="37"/>
        <v>10</v>
      </c>
      <c r="T196">
        <f t="shared" si="38"/>
        <v>10.714285714285714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2</v>
      </c>
      <c r="AA196">
        <v>1</v>
      </c>
      <c r="AB196">
        <f t="shared" si="39"/>
        <v>8</v>
      </c>
      <c r="AC196">
        <f t="shared" si="40"/>
        <v>3.5714285714285712</v>
      </c>
      <c r="AD196">
        <v>2</v>
      </c>
      <c r="AE196">
        <v>2</v>
      </c>
      <c r="AF196">
        <v>2</v>
      </c>
      <c r="AG196">
        <v>2</v>
      </c>
      <c r="AH196">
        <v>1</v>
      </c>
      <c r="AI196">
        <v>1</v>
      </c>
      <c r="AJ196">
        <v>1</v>
      </c>
      <c r="AK196">
        <f t="shared" si="41"/>
        <v>11</v>
      </c>
      <c r="AL196">
        <f t="shared" si="42"/>
        <v>14.285714285714285</v>
      </c>
      <c r="AM196">
        <v>2</v>
      </c>
      <c r="AN196">
        <v>2</v>
      </c>
      <c r="AO196">
        <v>2</v>
      </c>
      <c r="AP196">
        <v>2</v>
      </c>
      <c r="AQ196">
        <v>1</v>
      </c>
      <c r="AR196">
        <v>1</v>
      </c>
      <c r="AS196" s="1">
        <v>2</v>
      </c>
      <c r="AT196" s="1">
        <f t="shared" si="43"/>
        <v>12</v>
      </c>
      <c r="AU196" s="1">
        <f t="shared" si="44"/>
        <v>17.857142857142858</v>
      </c>
    </row>
    <row r="197" spans="1:47">
      <c r="A197" t="s">
        <v>225</v>
      </c>
      <c r="B197">
        <v>2</v>
      </c>
      <c r="C197">
        <v>3</v>
      </c>
      <c r="D197">
        <v>3</v>
      </c>
      <c r="E197">
        <v>3</v>
      </c>
      <c r="F197">
        <v>3</v>
      </c>
      <c r="G197">
        <v>2</v>
      </c>
      <c r="H197">
        <v>3</v>
      </c>
      <c r="I197">
        <v>3</v>
      </c>
      <c r="J197">
        <f t="shared" si="45"/>
        <v>22</v>
      </c>
      <c r="K197">
        <f t="shared" si="36"/>
        <v>43.75</v>
      </c>
      <c r="L197">
        <v>4</v>
      </c>
      <c r="M197">
        <v>2</v>
      </c>
      <c r="N197">
        <v>3</v>
      </c>
      <c r="O197">
        <v>3</v>
      </c>
      <c r="P197">
        <v>3</v>
      </c>
      <c r="Q197">
        <v>2</v>
      </c>
      <c r="S197">
        <f t="shared" si="37"/>
        <v>17</v>
      </c>
      <c r="T197">
        <f t="shared" si="38"/>
        <v>35.714285714285715</v>
      </c>
      <c r="U197">
        <v>2</v>
      </c>
      <c r="V197">
        <v>2</v>
      </c>
      <c r="W197">
        <v>2</v>
      </c>
      <c r="X197">
        <v>2</v>
      </c>
      <c r="Y197">
        <v>2</v>
      </c>
      <c r="Z197">
        <v>3</v>
      </c>
      <c r="AA197">
        <v>2</v>
      </c>
      <c r="AB197">
        <f t="shared" si="39"/>
        <v>15</v>
      </c>
      <c r="AC197">
        <f t="shared" si="40"/>
        <v>28.571428571428569</v>
      </c>
      <c r="AD197">
        <v>2</v>
      </c>
      <c r="AE197">
        <v>2</v>
      </c>
      <c r="AF197">
        <v>2</v>
      </c>
      <c r="AG197">
        <v>2</v>
      </c>
      <c r="AH197">
        <v>2</v>
      </c>
      <c r="AI197">
        <v>3</v>
      </c>
      <c r="AJ197">
        <v>2</v>
      </c>
      <c r="AK197">
        <f t="shared" si="41"/>
        <v>15</v>
      </c>
      <c r="AL197">
        <f t="shared" si="42"/>
        <v>28.571428571428569</v>
      </c>
      <c r="AM197">
        <v>3</v>
      </c>
      <c r="AN197">
        <v>1</v>
      </c>
      <c r="AO197">
        <v>1</v>
      </c>
      <c r="AP197">
        <v>1</v>
      </c>
      <c r="AQ197">
        <v>1</v>
      </c>
      <c r="AR197">
        <v>1</v>
      </c>
      <c r="AS197" s="1">
        <v>2</v>
      </c>
      <c r="AT197" s="1">
        <f t="shared" si="43"/>
        <v>10</v>
      </c>
      <c r="AU197" s="1">
        <f t="shared" si="44"/>
        <v>10.714285714285714</v>
      </c>
    </row>
    <row r="198" spans="1:47">
      <c r="A198" t="s">
        <v>226</v>
      </c>
      <c r="B198">
        <v>2</v>
      </c>
      <c r="C198">
        <v>3</v>
      </c>
      <c r="D198">
        <v>5</v>
      </c>
      <c r="E198">
        <v>3</v>
      </c>
      <c r="F198">
        <v>1</v>
      </c>
      <c r="G198">
        <v>1</v>
      </c>
      <c r="H198">
        <v>1</v>
      </c>
      <c r="I198">
        <v>3</v>
      </c>
      <c r="J198">
        <f t="shared" si="45"/>
        <v>19</v>
      </c>
      <c r="K198">
        <f t="shared" si="36"/>
        <v>34.375</v>
      </c>
      <c r="L198">
        <v>2</v>
      </c>
      <c r="M198">
        <v>1</v>
      </c>
      <c r="N198">
        <v>5</v>
      </c>
      <c r="O198">
        <v>1</v>
      </c>
      <c r="P198">
        <v>2</v>
      </c>
      <c r="Q198">
        <v>2</v>
      </c>
      <c r="S198">
        <f t="shared" si="37"/>
        <v>13</v>
      </c>
      <c r="T198">
        <f t="shared" si="38"/>
        <v>21.428571428571427</v>
      </c>
      <c r="U198">
        <v>1</v>
      </c>
      <c r="V198">
        <v>1</v>
      </c>
      <c r="W198">
        <v>1</v>
      </c>
      <c r="X198">
        <v>1</v>
      </c>
      <c r="Y198">
        <v>2</v>
      </c>
      <c r="Z198">
        <v>2</v>
      </c>
      <c r="AA198">
        <v>1</v>
      </c>
      <c r="AB198">
        <f t="shared" si="39"/>
        <v>9</v>
      </c>
      <c r="AC198">
        <f t="shared" si="40"/>
        <v>7.1428571428571423</v>
      </c>
      <c r="AD198">
        <v>2</v>
      </c>
      <c r="AE198">
        <v>2</v>
      </c>
      <c r="AF198">
        <v>2</v>
      </c>
      <c r="AG198">
        <v>2</v>
      </c>
      <c r="AH198">
        <v>1</v>
      </c>
      <c r="AI198">
        <v>1</v>
      </c>
      <c r="AJ198">
        <v>1</v>
      </c>
      <c r="AK198">
        <f t="shared" si="41"/>
        <v>11</v>
      </c>
      <c r="AL198">
        <f t="shared" si="42"/>
        <v>14.285714285714285</v>
      </c>
      <c r="AM198">
        <v>3</v>
      </c>
      <c r="AN198">
        <v>5</v>
      </c>
      <c r="AO198">
        <v>1</v>
      </c>
      <c r="AP198">
        <v>5</v>
      </c>
      <c r="AQ198">
        <v>1</v>
      </c>
      <c r="AR198">
        <v>1</v>
      </c>
      <c r="AS198" s="1">
        <v>1</v>
      </c>
      <c r="AT198" s="1">
        <f t="shared" si="43"/>
        <v>17</v>
      </c>
      <c r="AU198" s="1">
        <f t="shared" si="44"/>
        <v>35.714285714285715</v>
      </c>
    </row>
    <row r="199" spans="1:47">
      <c r="A199" t="s">
        <v>227</v>
      </c>
      <c r="B199">
        <v>3</v>
      </c>
      <c r="C199">
        <v>3</v>
      </c>
      <c r="D199">
        <v>1</v>
      </c>
      <c r="E199">
        <v>2</v>
      </c>
      <c r="F199">
        <v>1</v>
      </c>
      <c r="G199">
        <v>1</v>
      </c>
      <c r="H199">
        <v>1</v>
      </c>
      <c r="I199">
        <v>1</v>
      </c>
      <c r="J199">
        <f t="shared" si="45"/>
        <v>13</v>
      </c>
      <c r="K199">
        <f t="shared" si="36"/>
        <v>15.625</v>
      </c>
      <c r="L199">
        <v>4</v>
      </c>
      <c r="M199">
        <v>2</v>
      </c>
      <c r="N199">
        <v>1</v>
      </c>
      <c r="O199">
        <v>1</v>
      </c>
      <c r="P199">
        <v>1</v>
      </c>
      <c r="Q199">
        <v>1</v>
      </c>
      <c r="S199">
        <f t="shared" si="37"/>
        <v>10</v>
      </c>
      <c r="T199">
        <f t="shared" si="38"/>
        <v>10.714285714285714</v>
      </c>
      <c r="U199">
        <v>1</v>
      </c>
      <c r="V199">
        <v>1</v>
      </c>
      <c r="W199">
        <v>4</v>
      </c>
      <c r="X199">
        <v>1</v>
      </c>
      <c r="Y199">
        <v>1</v>
      </c>
      <c r="Z199">
        <v>4</v>
      </c>
      <c r="AA199">
        <v>1</v>
      </c>
      <c r="AB199">
        <f t="shared" si="39"/>
        <v>13</v>
      </c>
      <c r="AC199">
        <f t="shared" si="40"/>
        <v>21.428571428571427</v>
      </c>
      <c r="AD199">
        <v>4</v>
      </c>
      <c r="AE199">
        <v>5</v>
      </c>
      <c r="AF199">
        <v>4</v>
      </c>
      <c r="AG199">
        <v>4</v>
      </c>
      <c r="AH199">
        <v>1</v>
      </c>
      <c r="AI199">
        <v>1</v>
      </c>
      <c r="AJ199">
        <v>2</v>
      </c>
      <c r="AK199">
        <f t="shared" si="41"/>
        <v>21</v>
      </c>
      <c r="AL199">
        <f t="shared" si="42"/>
        <v>50</v>
      </c>
      <c r="AM199">
        <v>1</v>
      </c>
      <c r="AN199">
        <v>2</v>
      </c>
      <c r="AO199">
        <v>1</v>
      </c>
      <c r="AP199">
        <v>1</v>
      </c>
      <c r="AQ199">
        <v>1</v>
      </c>
      <c r="AR199">
        <v>1</v>
      </c>
      <c r="AS199" s="1">
        <v>1</v>
      </c>
      <c r="AT199" s="1">
        <f t="shared" si="43"/>
        <v>8</v>
      </c>
      <c r="AU199" s="1">
        <f t="shared" si="44"/>
        <v>3.5714285714285712</v>
      </c>
    </row>
    <row r="200" spans="1:47">
      <c r="A200" t="s">
        <v>228</v>
      </c>
      <c r="B200">
        <v>1</v>
      </c>
      <c r="C200">
        <v>1</v>
      </c>
      <c r="D200">
        <v>2</v>
      </c>
      <c r="E200">
        <v>3</v>
      </c>
      <c r="F200">
        <v>1</v>
      </c>
      <c r="G200">
        <v>2</v>
      </c>
      <c r="H200">
        <v>1</v>
      </c>
      <c r="I200">
        <v>3</v>
      </c>
      <c r="J200">
        <f t="shared" si="45"/>
        <v>14</v>
      </c>
      <c r="K200">
        <f t="shared" si="36"/>
        <v>18.75</v>
      </c>
      <c r="L200">
        <v>4</v>
      </c>
      <c r="M200">
        <v>1</v>
      </c>
      <c r="N200">
        <v>1</v>
      </c>
      <c r="O200">
        <v>1</v>
      </c>
      <c r="P200">
        <v>2</v>
      </c>
      <c r="R200">
        <v>1</v>
      </c>
      <c r="S200">
        <f t="shared" si="37"/>
        <v>10</v>
      </c>
      <c r="T200">
        <f t="shared" si="38"/>
        <v>10.714285714285714</v>
      </c>
      <c r="U200">
        <v>1</v>
      </c>
      <c r="V200">
        <v>1</v>
      </c>
      <c r="W200">
        <v>1</v>
      </c>
      <c r="X200">
        <v>1</v>
      </c>
      <c r="Y200">
        <v>2</v>
      </c>
      <c r="Z200">
        <v>1</v>
      </c>
      <c r="AA200">
        <v>3</v>
      </c>
      <c r="AB200">
        <f t="shared" si="39"/>
        <v>10</v>
      </c>
      <c r="AC200">
        <f t="shared" si="40"/>
        <v>10.714285714285714</v>
      </c>
      <c r="AD200">
        <v>1</v>
      </c>
      <c r="AE200">
        <v>1</v>
      </c>
      <c r="AF200">
        <v>1</v>
      </c>
      <c r="AG200">
        <v>1</v>
      </c>
      <c r="AH200">
        <v>1</v>
      </c>
      <c r="AI200">
        <v>1</v>
      </c>
      <c r="AJ200">
        <v>1</v>
      </c>
      <c r="AK200">
        <f t="shared" si="41"/>
        <v>7</v>
      </c>
      <c r="AL200">
        <f t="shared" si="42"/>
        <v>0</v>
      </c>
      <c r="AM200">
        <v>1</v>
      </c>
      <c r="AN200">
        <v>1</v>
      </c>
      <c r="AO200">
        <v>1</v>
      </c>
      <c r="AP200">
        <v>1</v>
      </c>
      <c r="AQ200">
        <v>1</v>
      </c>
      <c r="AR200">
        <v>1</v>
      </c>
      <c r="AS200" s="1">
        <v>1</v>
      </c>
      <c r="AT200" s="1">
        <f t="shared" si="43"/>
        <v>7</v>
      </c>
      <c r="AU200" s="1">
        <f t="shared" si="44"/>
        <v>0</v>
      </c>
    </row>
    <row r="201" spans="1:47">
      <c r="A201" t="s">
        <v>229</v>
      </c>
      <c r="B201">
        <v>2</v>
      </c>
      <c r="C201">
        <v>3</v>
      </c>
      <c r="D201">
        <v>3</v>
      </c>
      <c r="E201">
        <v>3</v>
      </c>
      <c r="F201">
        <v>2</v>
      </c>
      <c r="G201">
        <v>2</v>
      </c>
      <c r="H201">
        <v>2</v>
      </c>
      <c r="I201">
        <v>2</v>
      </c>
      <c r="J201">
        <f t="shared" si="45"/>
        <v>19</v>
      </c>
      <c r="K201">
        <f t="shared" si="36"/>
        <v>34.375</v>
      </c>
      <c r="L201">
        <v>4</v>
      </c>
      <c r="M201">
        <v>2</v>
      </c>
      <c r="N201">
        <v>2</v>
      </c>
      <c r="O201">
        <v>2</v>
      </c>
      <c r="P201">
        <v>1</v>
      </c>
      <c r="R201">
        <v>1</v>
      </c>
      <c r="S201">
        <f t="shared" si="37"/>
        <v>12</v>
      </c>
      <c r="T201">
        <f t="shared" si="38"/>
        <v>17.857142857142858</v>
      </c>
      <c r="U201">
        <v>1</v>
      </c>
      <c r="V201">
        <v>1</v>
      </c>
      <c r="W201">
        <v>1</v>
      </c>
      <c r="X201">
        <v>2</v>
      </c>
      <c r="Y201">
        <v>4</v>
      </c>
      <c r="Z201">
        <v>3</v>
      </c>
      <c r="AA201">
        <v>2</v>
      </c>
      <c r="AB201">
        <f t="shared" si="39"/>
        <v>14</v>
      </c>
      <c r="AC201">
        <f t="shared" si="40"/>
        <v>25</v>
      </c>
      <c r="AD201">
        <v>3</v>
      </c>
      <c r="AE201">
        <v>3</v>
      </c>
      <c r="AF201">
        <v>2</v>
      </c>
      <c r="AG201">
        <v>2</v>
      </c>
      <c r="AH201">
        <v>2</v>
      </c>
      <c r="AI201">
        <v>3</v>
      </c>
      <c r="AJ201">
        <v>2</v>
      </c>
      <c r="AK201">
        <f t="shared" si="41"/>
        <v>17</v>
      </c>
      <c r="AL201">
        <f t="shared" si="42"/>
        <v>35.714285714285715</v>
      </c>
      <c r="AM201">
        <v>2</v>
      </c>
      <c r="AN201">
        <v>4</v>
      </c>
      <c r="AO201">
        <v>3</v>
      </c>
      <c r="AP201">
        <v>3</v>
      </c>
      <c r="AQ201">
        <v>1</v>
      </c>
      <c r="AR201">
        <v>1</v>
      </c>
      <c r="AS201" s="1">
        <v>4</v>
      </c>
      <c r="AT201" s="1">
        <f t="shared" si="43"/>
        <v>18</v>
      </c>
      <c r="AU201" s="1">
        <f t="shared" si="44"/>
        <v>39.285714285714285</v>
      </c>
    </row>
    <row r="202" spans="1:47">
      <c r="A202" t="s">
        <v>230</v>
      </c>
      <c r="B202">
        <v>3</v>
      </c>
      <c r="C202">
        <v>4</v>
      </c>
      <c r="D202">
        <v>3</v>
      </c>
      <c r="E202">
        <v>2</v>
      </c>
      <c r="F202">
        <v>4</v>
      </c>
      <c r="G202">
        <v>2</v>
      </c>
      <c r="H202">
        <v>5</v>
      </c>
      <c r="I202">
        <v>3</v>
      </c>
      <c r="J202">
        <f t="shared" si="45"/>
        <v>26</v>
      </c>
      <c r="K202">
        <f t="shared" si="36"/>
        <v>56.25</v>
      </c>
      <c r="L202">
        <v>3</v>
      </c>
      <c r="M202">
        <v>2</v>
      </c>
      <c r="N202">
        <v>2</v>
      </c>
      <c r="O202">
        <v>2</v>
      </c>
      <c r="P202">
        <v>2</v>
      </c>
      <c r="Q202">
        <v>2</v>
      </c>
      <c r="S202">
        <f t="shared" si="37"/>
        <v>13</v>
      </c>
      <c r="T202">
        <f t="shared" si="38"/>
        <v>21.428571428571427</v>
      </c>
      <c r="U202">
        <v>4</v>
      </c>
      <c r="V202">
        <v>3</v>
      </c>
      <c r="W202">
        <v>5</v>
      </c>
      <c r="X202">
        <v>2</v>
      </c>
      <c r="Y202">
        <v>5</v>
      </c>
      <c r="Z202">
        <v>2</v>
      </c>
      <c r="AA202">
        <v>3</v>
      </c>
      <c r="AB202">
        <f t="shared" si="39"/>
        <v>24</v>
      </c>
      <c r="AC202">
        <f t="shared" si="40"/>
        <v>60.714285714285708</v>
      </c>
      <c r="AD202">
        <v>3</v>
      </c>
      <c r="AE202">
        <v>3</v>
      </c>
      <c r="AF202">
        <v>2</v>
      </c>
      <c r="AG202">
        <v>1</v>
      </c>
      <c r="AH202">
        <v>1</v>
      </c>
      <c r="AI202">
        <v>1</v>
      </c>
      <c r="AJ202">
        <v>3</v>
      </c>
      <c r="AK202">
        <f t="shared" si="41"/>
        <v>14</v>
      </c>
      <c r="AL202">
        <f t="shared" si="42"/>
        <v>25</v>
      </c>
      <c r="AM202">
        <v>5</v>
      </c>
      <c r="AN202">
        <v>5</v>
      </c>
      <c r="AO202">
        <v>5</v>
      </c>
      <c r="AP202">
        <v>5</v>
      </c>
      <c r="AQ202">
        <v>1</v>
      </c>
      <c r="AR202">
        <v>1</v>
      </c>
      <c r="AS202" s="1">
        <v>2</v>
      </c>
      <c r="AT202" s="1">
        <f t="shared" si="43"/>
        <v>24</v>
      </c>
      <c r="AU202" s="1">
        <f t="shared" si="44"/>
        <v>60.714285714285708</v>
      </c>
    </row>
    <row r="203" spans="1:47">
      <c r="A203" t="s">
        <v>231</v>
      </c>
      <c r="B203">
        <v>1</v>
      </c>
      <c r="C203">
        <v>2</v>
      </c>
      <c r="D203">
        <v>1</v>
      </c>
      <c r="E203">
        <v>1</v>
      </c>
      <c r="F203">
        <v>1</v>
      </c>
      <c r="G203">
        <v>1</v>
      </c>
      <c r="H203">
        <v>2</v>
      </c>
      <c r="I203">
        <v>1</v>
      </c>
      <c r="J203">
        <f t="shared" si="45"/>
        <v>10</v>
      </c>
      <c r="K203">
        <f t="shared" si="36"/>
        <v>6.25</v>
      </c>
      <c r="L203">
        <v>1</v>
      </c>
      <c r="M203">
        <v>2</v>
      </c>
      <c r="N203">
        <v>2</v>
      </c>
      <c r="O203">
        <v>3</v>
      </c>
      <c r="P203">
        <v>2</v>
      </c>
      <c r="R203">
        <v>2</v>
      </c>
      <c r="S203">
        <f t="shared" si="37"/>
        <v>12</v>
      </c>
      <c r="T203">
        <f t="shared" si="38"/>
        <v>17.857142857142858</v>
      </c>
      <c r="U203">
        <v>1</v>
      </c>
      <c r="V203">
        <v>1</v>
      </c>
      <c r="W203">
        <v>2</v>
      </c>
      <c r="X203">
        <v>1</v>
      </c>
      <c r="Y203">
        <v>2</v>
      </c>
      <c r="Z203">
        <v>3</v>
      </c>
      <c r="AA203">
        <v>2</v>
      </c>
      <c r="AB203">
        <f t="shared" si="39"/>
        <v>12</v>
      </c>
      <c r="AC203">
        <f t="shared" si="40"/>
        <v>17.857142857142858</v>
      </c>
      <c r="AD203">
        <v>2</v>
      </c>
      <c r="AE203">
        <v>2</v>
      </c>
      <c r="AF203">
        <v>2</v>
      </c>
      <c r="AG203">
        <v>2</v>
      </c>
      <c r="AH203">
        <v>1</v>
      </c>
      <c r="AI203">
        <v>2</v>
      </c>
      <c r="AJ203">
        <v>1</v>
      </c>
      <c r="AK203">
        <f t="shared" si="41"/>
        <v>12</v>
      </c>
      <c r="AL203">
        <f t="shared" si="42"/>
        <v>17.857142857142858</v>
      </c>
      <c r="AM203">
        <v>5</v>
      </c>
      <c r="AN203">
        <v>5</v>
      </c>
      <c r="AO203">
        <v>4</v>
      </c>
      <c r="AP203">
        <v>4</v>
      </c>
      <c r="AQ203">
        <v>2</v>
      </c>
      <c r="AR203">
        <v>1</v>
      </c>
      <c r="AS203" s="1">
        <v>4</v>
      </c>
      <c r="AT203" s="1">
        <f t="shared" si="43"/>
        <v>25</v>
      </c>
      <c r="AU203" s="1">
        <f t="shared" si="44"/>
        <v>64.285714285714292</v>
      </c>
    </row>
    <row r="204" spans="1:47">
      <c r="A204" t="s">
        <v>232</v>
      </c>
      <c r="B204">
        <v>2</v>
      </c>
      <c r="C204">
        <v>2</v>
      </c>
      <c r="D204">
        <v>4</v>
      </c>
      <c r="E204">
        <v>3</v>
      </c>
      <c r="F204">
        <v>4</v>
      </c>
      <c r="G204">
        <v>3</v>
      </c>
      <c r="H204">
        <v>2</v>
      </c>
      <c r="I204">
        <v>2</v>
      </c>
      <c r="J204">
        <f t="shared" si="45"/>
        <v>22</v>
      </c>
      <c r="K204">
        <f t="shared" si="36"/>
        <v>43.75</v>
      </c>
      <c r="L204">
        <v>3</v>
      </c>
      <c r="M204">
        <v>3</v>
      </c>
      <c r="N204">
        <v>3</v>
      </c>
      <c r="O204">
        <v>2</v>
      </c>
      <c r="P204">
        <v>2</v>
      </c>
      <c r="Q204">
        <v>4</v>
      </c>
      <c r="S204">
        <f t="shared" si="37"/>
        <v>17</v>
      </c>
      <c r="T204">
        <f t="shared" si="38"/>
        <v>35.714285714285715</v>
      </c>
      <c r="U204">
        <v>3</v>
      </c>
      <c r="V204">
        <v>2</v>
      </c>
      <c r="W204">
        <v>4</v>
      </c>
      <c r="X204">
        <v>3</v>
      </c>
      <c r="Y204">
        <v>3</v>
      </c>
      <c r="Z204">
        <v>4</v>
      </c>
      <c r="AA204">
        <v>3</v>
      </c>
      <c r="AB204">
        <f t="shared" si="39"/>
        <v>22</v>
      </c>
      <c r="AC204">
        <f t="shared" si="40"/>
        <v>53.571428571428569</v>
      </c>
      <c r="AD204">
        <v>2</v>
      </c>
      <c r="AE204">
        <v>2</v>
      </c>
      <c r="AF204">
        <v>3</v>
      </c>
      <c r="AG204">
        <v>4</v>
      </c>
      <c r="AH204">
        <v>3</v>
      </c>
      <c r="AI204">
        <v>3</v>
      </c>
      <c r="AJ204">
        <v>2</v>
      </c>
      <c r="AK204">
        <f t="shared" si="41"/>
        <v>19</v>
      </c>
      <c r="AL204">
        <f t="shared" si="42"/>
        <v>42.857142857142854</v>
      </c>
      <c r="AM204">
        <v>4</v>
      </c>
      <c r="AN204">
        <v>4</v>
      </c>
      <c r="AO204">
        <v>2</v>
      </c>
      <c r="AP204">
        <v>3</v>
      </c>
      <c r="AQ204">
        <v>3</v>
      </c>
      <c r="AR204">
        <v>2</v>
      </c>
      <c r="AS204" s="1">
        <v>3</v>
      </c>
      <c r="AT204" s="1">
        <f t="shared" si="43"/>
        <v>21</v>
      </c>
      <c r="AU204" s="1">
        <f t="shared" si="44"/>
        <v>50</v>
      </c>
    </row>
    <row r="205" spans="1:47">
      <c r="A205" t="s">
        <v>233</v>
      </c>
      <c r="B205">
        <v>3</v>
      </c>
      <c r="C205">
        <v>3</v>
      </c>
      <c r="D205">
        <v>2</v>
      </c>
      <c r="E205">
        <v>2</v>
      </c>
      <c r="F205">
        <v>1</v>
      </c>
      <c r="G205">
        <v>2</v>
      </c>
      <c r="H205">
        <v>2</v>
      </c>
      <c r="I205">
        <v>2</v>
      </c>
      <c r="J205">
        <f t="shared" si="45"/>
        <v>17</v>
      </c>
      <c r="K205">
        <f t="shared" si="36"/>
        <v>28.125</v>
      </c>
      <c r="L205">
        <v>2</v>
      </c>
      <c r="M205">
        <v>2</v>
      </c>
      <c r="N205">
        <v>2</v>
      </c>
      <c r="O205">
        <v>2</v>
      </c>
      <c r="P205">
        <v>2</v>
      </c>
      <c r="R205">
        <v>1</v>
      </c>
      <c r="S205">
        <f t="shared" si="37"/>
        <v>11</v>
      </c>
      <c r="T205">
        <f t="shared" si="38"/>
        <v>14.285714285714285</v>
      </c>
      <c r="U205">
        <v>1</v>
      </c>
      <c r="V205">
        <v>1</v>
      </c>
      <c r="W205">
        <v>2</v>
      </c>
      <c r="X205">
        <v>2</v>
      </c>
      <c r="Y205">
        <v>2</v>
      </c>
      <c r="Z205">
        <v>2</v>
      </c>
      <c r="AA205">
        <v>2</v>
      </c>
      <c r="AB205">
        <f t="shared" si="39"/>
        <v>12</v>
      </c>
      <c r="AC205">
        <f t="shared" si="40"/>
        <v>17.857142857142858</v>
      </c>
      <c r="AD205">
        <v>3</v>
      </c>
      <c r="AE205">
        <v>3</v>
      </c>
      <c r="AF205">
        <v>3</v>
      </c>
      <c r="AG205">
        <v>2</v>
      </c>
      <c r="AH205">
        <v>1</v>
      </c>
      <c r="AI205">
        <v>2</v>
      </c>
      <c r="AJ205">
        <v>2</v>
      </c>
      <c r="AK205">
        <f t="shared" si="41"/>
        <v>16</v>
      </c>
      <c r="AL205">
        <f t="shared" si="42"/>
        <v>32.142857142857146</v>
      </c>
      <c r="AM205">
        <v>3</v>
      </c>
      <c r="AN205">
        <v>4</v>
      </c>
      <c r="AO205">
        <v>2</v>
      </c>
      <c r="AP205">
        <v>3</v>
      </c>
      <c r="AQ205">
        <v>3</v>
      </c>
      <c r="AR205">
        <v>1</v>
      </c>
      <c r="AS205" s="1">
        <v>3</v>
      </c>
      <c r="AT205" s="1">
        <f t="shared" si="43"/>
        <v>19</v>
      </c>
      <c r="AU205" s="1">
        <f t="shared" si="44"/>
        <v>42.857142857142854</v>
      </c>
    </row>
    <row r="206" spans="1:47">
      <c r="A206" t="s">
        <v>234</v>
      </c>
      <c r="B206">
        <v>2</v>
      </c>
      <c r="C206">
        <v>1</v>
      </c>
      <c r="D206">
        <v>1</v>
      </c>
      <c r="E206">
        <v>4</v>
      </c>
      <c r="F206">
        <v>2</v>
      </c>
      <c r="G206">
        <v>1</v>
      </c>
      <c r="H206">
        <v>1</v>
      </c>
      <c r="I206">
        <v>2</v>
      </c>
      <c r="J206">
        <f t="shared" si="45"/>
        <v>14</v>
      </c>
      <c r="K206">
        <f t="shared" si="36"/>
        <v>18.75</v>
      </c>
      <c r="L206">
        <v>3</v>
      </c>
      <c r="M206">
        <v>2</v>
      </c>
      <c r="N206">
        <v>1</v>
      </c>
      <c r="O206">
        <v>1</v>
      </c>
      <c r="P206">
        <v>3</v>
      </c>
      <c r="R206">
        <v>1</v>
      </c>
      <c r="S206">
        <f t="shared" si="37"/>
        <v>11</v>
      </c>
      <c r="T206">
        <f t="shared" si="38"/>
        <v>14.285714285714285</v>
      </c>
      <c r="U206">
        <v>1</v>
      </c>
      <c r="V206">
        <v>1</v>
      </c>
      <c r="W206">
        <v>1</v>
      </c>
      <c r="X206">
        <v>1</v>
      </c>
      <c r="Y206">
        <v>4</v>
      </c>
      <c r="Z206">
        <v>2</v>
      </c>
      <c r="AA206">
        <v>2</v>
      </c>
      <c r="AB206">
        <f t="shared" si="39"/>
        <v>12</v>
      </c>
      <c r="AC206">
        <f t="shared" si="40"/>
        <v>17.857142857142858</v>
      </c>
      <c r="AD206">
        <v>2</v>
      </c>
      <c r="AE206">
        <v>4</v>
      </c>
      <c r="AF206">
        <v>2</v>
      </c>
      <c r="AG206">
        <v>2</v>
      </c>
      <c r="AH206">
        <v>1</v>
      </c>
      <c r="AI206">
        <v>3</v>
      </c>
      <c r="AJ206">
        <v>3</v>
      </c>
      <c r="AK206">
        <f t="shared" si="41"/>
        <v>17</v>
      </c>
      <c r="AL206">
        <f t="shared" si="42"/>
        <v>35.714285714285715</v>
      </c>
      <c r="AM206">
        <v>1</v>
      </c>
      <c r="AN206">
        <v>1</v>
      </c>
      <c r="AO206">
        <v>2</v>
      </c>
      <c r="AP206">
        <v>3</v>
      </c>
      <c r="AQ206">
        <v>3</v>
      </c>
      <c r="AR206">
        <v>2</v>
      </c>
      <c r="AS206" s="1">
        <v>2</v>
      </c>
      <c r="AT206" s="1">
        <f t="shared" si="43"/>
        <v>14</v>
      </c>
      <c r="AU206" s="1">
        <f t="shared" si="44"/>
        <v>25</v>
      </c>
    </row>
    <row r="207" spans="1:47">
      <c r="A207" t="s">
        <v>235</v>
      </c>
      <c r="B207">
        <v>1</v>
      </c>
      <c r="C207">
        <v>2</v>
      </c>
      <c r="D207">
        <v>2</v>
      </c>
      <c r="E207">
        <v>2</v>
      </c>
      <c r="F207">
        <v>1</v>
      </c>
      <c r="G207">
        <v>1</v>
      </c>
      <c r="H207">
        <v>1</v>
      </c>
      <c r="I207">
        <v>1</v>
      </c>
      <c r="J207">
        <f t="shared" si="45"/>
        <v>11</v>
      </c>
      <c r="K207">
        <f t="shared" si="36"/>
        <v>9.375</v>
      </c>
      <c r="L207">
        <v>3</v>
      </c>
      <c r="M207">
        <v>1</v>
      </c>
      <c r="N207">
        <v>1</v>
      </c>
      <c r="O207">
        <v>1</v>
      </c>
      <c r="P207">
        <v>1</v>
      </c>
      <c r="R207">
        <v>1</v>
      </c>
      <c r="S207">
        <f t="shared" si="37"/>
        <v>8</v>
      </c>
      <c r="T207">
        <f t="shared" si="38"/>
        <v>3.5714285714285712</v>
      </c>
      <c r="U207">
        <v>1</v>
      </c>
      <c r="V207">
        <v>1</v>
      </c>
      <c r="W207">
        <v>1</v>
      </c>
      <c r="X207">
        <v>1</v>
      </c>
      <c r="Y207">
        <v>2</v>
      </c>
      <c r="Z207">
        <v>2</v>
      </c>
      <c r="AA207">
        <v>1</v>
      </c>
      <c r="AB207">
        <f t="shared" si="39"/>
        <v>9</v>
      </c>
      <c r="AC207">
        <f t="shared" si="40"/>
        <v>7.1428571428571423</v>
      </c>
      <c r="AD207">
        <v>2</v>
      </c>
      <c r="AE207">
        <v>2</v>
      </c>
      <c r="AF207">
        <v>2</v>
      </c>
      <c r="AG207">
        <v>1</v>
      </c>
      <c r="AH207">
        <v>1</v>
      </c>
      <c r="AI207">
        <v>1</v>
      </c>
      <c r="AJ207">
        <v>1</v>
      </c>
      <c r="AK207">
        <f t="shared" si="41"/>
        <v>10</v>
      </c>
      <c r="AL207">
        <f t="shared" si="42"/>
        <v>10.714285714285714</v>
      </c>
      <c r="AM207">
        <v>1</v>
      </c>
      <c r="AN207">
        <v>1</v>
      </c>
      <c r="AO207">
        <v>1</v>
      </c>
      <c r="AP207">
        <v>1</v>
      </c>
      <c r="AQ207">
        <v>1</v>
      </c>
      <c r="AR207">
        <v>1</v>
      </c>
      <c r="AS207" s="1">
        <v>1</v>
      </c>
      <c r="AT207" s="1">
        <f t="shared" si="43"/>
        <v>7</v>
      </c>
      <c r="AU207" s="1">
        <f t="shared" si="44"/>
        <v>0</v>
      </c>
    </row>
    <row r="208" spans="1:47">
      <c r="A208" t="s">
        <v>236</v>
      </c>
      <c r="B208">
        <v>1</v>
      </c>
      <c r="C208">
        <v>1</v>
      </c>
      <c r="D208">
        <v>1</v>
      </c>
      <c r="E208">
        <v>1</v>
      </c>
      <c r="F208">
        <v>1</v>
      </c>
      <c r="G208">
        <v>1</v>
      </c>
      <c r="H208">
        <v>2</v>
      </c>
      <c r="I208">
        <v>1</v>
      </c>
      <c r="J208">
        <f t="shared" si="45"/>
        <v>9</v>
      </c>
      <c r="K208">
        <f t="shared" si="36"/>
        <v>3.125</v>
      </c>
      <c r="L208">
        <v>3</v>
      </c>
      <c r="M208">
        <v>4</v>
      </c>
      <c r="N208">
        <v>2</v>
      </c>
      <c r="O208">
        <v>4</v>
      </c>
      <c r="P208">
        <v>2</v>
      </c>
      <c r="R208">
        <v>2</v>
      </c>
      <c r="S208">
        <f t="shared" si="37"/>
        <v>17</v>
      </c>
      <c r="T208">
        <f t="shared" si="38"/>
        <v>35.714285714285715</v>
      </c>
      <c r="U208">
        <v>1</v>
      </c>
      <c r="V208">
        <v>1</v>
      </c>
      <c r="W208">
        <v>2</v>
      </c>
      <c r="X208">
        <v>2</v>
      </c>
      <c r="Y208">
        <v>4</v>
      </c>
      <c r="Z208">
        <v>4</v>
      </c>
      <c r="AA208">
        <v>3</v>
      </c>
      <c r="AB208">
        <f t="shared" si="39"/>
        <v>17</v>
      </c>
      <c r="AC208">
        <f t="shared" si="40"/>
        <v>35.714285714285715</v>
      </c>
      <c r="AD208">
        <v>4</v>
      </c>
      <c r="AE208">
        <v>3</v>
      </c>
      <c r="AF208">
        <v>4</v>
      </c>
      <c r="AG208">
        <v>4</v>
      </c>
      <c r="AH208">
        <v>1</v>
      </c>
      <c r="AI208">
        <v>1</v>
      </c>
      <c r="AJ208">
        <v>1</v>
      </c>
      <c r="AK208">
        <f t="shared" si="41"/>
        <v>18</v>
      </c>
      <c r="AL208">
        <f t="shared" si="42"/>
        <v>39.285714285714285</v>
      </c>
      <c r="AM208">
        <v>3</v>
      </c>
      <c r="AN208">
        <v>4</v>
      </c>
      <c r="AO208">
        <v>5</v>
      </c>
      <c r="AP208">
        <v>5</v>
      </c>
      <c r="AQ208">
        <v>2</v>
      </c>
      <c r="AR208">
        <v>1</v>
      </c>
      <c r="AS208" s="1">
        <v>3</v>
      </c>
      <c r="AT208" s="1">
        <f t="shared" si="43"/>
        <v>23</v>
      </c>
      <c r="AU208" s="1">
        <f t="shared" si="44"/>
        <v>57.142857142857139</v>
      </c>
    </row>
    <row r="209" spans="1:47">
      <c r="A209" t="s">
        <v>237</v>
      </c>
      <c r="B209">
        <v>1</v>
      </c>
      <c r="C209">
        <v>2</v>
      </c>
      <c r="D209">
        <v>2</v>
      </c>
      <c r="E209">
        <v>4</v>
      </c>
      <c r="F209">
        <v>1</v>
      </c>
      <c r="G209">
        <v>3</v>
      </c>
      <c r="H209">
        <v>2</v>
      </c>
      <c r="I209">
        <v>2</v>
      </c>
      <c r="J209">
        <f t="shared" si="45"/>
        <v>17</v>
      </c>
      <c r="K209">
        <f t="shared" si="36"/>
        <v>28.125</v>
      </c>
      <c r="L209">
        <v>5</v>
      </c>
      <c r="M209">
        <v>1</v>
      </c>
      <c r="N209">
        <v>1</v>
      </c>
      <c r="O209">
        <v>1</v>
      </c>
      <c r="P209">
        <v>2</v>
      </c>
      <c r="Q209">
        <v>1</v>
      </c>
      <c r="S209">
        <f t="shared" si="37"/>
        <v>11</v>
      </c>
      <c r="T209">
        <f t="shared" si="38"/>
        <v>14.285714285714285</v>
      </c>
      <c r="U209">
        <v>1</v>
      </c>
      <c r="V209">
        <v>1</v>
      </c>
      <c r="W209">
        <v>2</v>
      </c>
      <c r="X209">
        <v>1</v>
      </c>
      <c r="Y209">
        <v>2</v>
      </c>
      <c r="Z209">
        <v>3</v>
      </c>
      <c r="AA209">
        <v>4</v>
      </c>
      <c r="AB209">
        <f t="shared" si="39"/>
        <v>14</v>
      </c>
      <c r="AC209">
        <f t="shared" si="40"/>
        <v>25</v>
      </c>
      <c r="AD209">
        <v>3</v>
      </c>
      <c r="AE209">
        <v>4</v>
      </c>
      <c r="AF209">
        <v>3</v>
      </c>
      <c r="AG209">
        <v>4</v>
      </c>
      <c r="AH209">
        <v>1</v>
      </c>
      <c r="AI209">
        <v>4</v>
      </c>
      <c r="AJ209">
        <v>2</v>
      </c>
      <c r="AK209">
        <f t="shared" si="41"/>
        <v>21</v>
      </c>
      <c r="AL209">
        <f t="shared" si="42"/>
        <v>50</v>
      </c>
      <c r="AM209">
        <v>4</v>
      </c>
      <c r="AN209">
        <v>2</v>
      </c>
      <c r="AO209">
        <v>1</v>
      </c>
      <c r="AP209">
        <v>2</v>
      </c>
      <c r="AQ209">
        <v>1</v>
      </c>
      <c r="AR209">
        <v>1</v>
      </c>
      <c r="AS209" s="1">
        <v>5</v>
      </c>
      <c r="AT209" s="1">
        <f t="shared" si="43"/>
        <v>16</v>
      </c>
      <c r="AU209" s="1">
        <f t="shared" si="44"/>
        <v>32.142857142857146</v>
      </c>
    </row>
    <row r="210" spans="1:47">
      <c r="A210" t="s">
        <v>238</v>
      </c>
      <c r="B210">
        <v>1</v>
      </c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f t="shared" si="45"/>
        <v>8</v>
      </c>
      <c r="K210">
        <f t="shared" si="36"/>
        <v>0</v>
      </c>
      <c r="L210">
        <v>3</v>
      </c>
      <c r="M210">
        <v>1</v>
      </c>
      <c r="N210">
        <v>1</v>
      </c>
      <c r="O210">
        <v>1</v>
      </c>
      <c r="P210">
        <v>1</v>
      </c>
      <c r="R210">
        <v>1</v>
      </c>
      <c r="S210">
        <f t="shared" si="37"/>
        <v>8</v>
      </c>
      <c r="T210">
        <f t="shared" si="38"/>
        <v>3.5714285714285712</v>
      </c>
      <c r="U210">
        <v>1</v>
      </c>
      <c r="V210">
        <v>1</v>
      </c>
      <c r="W210">
        <v>1</v>
      </c>
      <c r="X210">
        <v>1</v>
      </c>
      <c r="Y210">
        <v>4</v>
      </c>
      <c r="Z210">
        <v>2</v>
      </c>
      <c r="AA210">
        <v>1</v>
      </c>
      <c r="AB210">
        <f t="shared" si="39"/>
        <v>11</v>
      </c>
      <c r="AC210">
        <f t="shared" si="40"/>
        <v>14.285714285714285</v>
      </c>
      <c r="AD210">
        <v>2</v>
      </c>
      <c r="AE210">
        <v>2</v>
      </c>
      <c r="AF210">
        <v>4</v>
      </c>
      <c r="AG210">
        <v>2</v>
      </c>
      <c r="AH210">
        <v>1</v>
      </c>
      <c r="AI210">
        <v>1</v>
      </c>
      <c r="AJ210">
        <v>1</v>
      </c>
      <c r="AK210">
        <f t="shared" si="41"/>
        <v>13</v>
      </c>
      <c r="AL210">
        <f t="shared" si="42"/>
        <v>21.428571428571427</v>
      </c>
      <c r="AM210">
        <v>3</v>
      </c>
      <c r="AN210">
        <v>2</v>
      </c>
      <c r="AO210">
        <v>1</v>
      </c>
      <c r="AP210">
        <v>1</v>
      </c>
      <c r="AQ210">
        <v>1</v>
      </c>
      <c r="AR210">
        <v>1</v>
      </c>
      <c r="AS210" s="1">
        <v>1</v>
      </c>
      <c r="AT210" s="1">
        <f t="shared" si="43"/>
        <v>10</v>
      </c>
      <c r="AU210" s="1">
        <f t="shared" si="44"/>
        <v>10.714285714285714</v>
      </c>
    </row>
    <row r="211" spans="1:47">
      <c r="A211" t="s">
        <v>239</v>
      </c>
      <c r="B211">
        <v>5</v>
      </c>
      <c r="C211">
        <v>1</v>
      </c>
      <c r="D211">
        <v>3</v>
      </c>
      <c r="E211">
        <v>3</v>
      </c>
      <c r="F211">
        <v>2</v>
      </c>
      <c r="G211">
        <v>3</v>
      </c>
      <c r="H211">
        <v>2</v>
      </c>
      <c r="I211">
        <v>3</v>
      </c>
      <c r="J211">
        <f t="shared" si="45"/>
        <v>22</v>
      </c>
      <c r="K211">
        <f t="shared" si="36"/>
        <v>43.75</v>
      </c>
      <c r="L211">
        <v>3</v>
      </c>
      <c r="M211">
        <v>1</v>
      </c>
      <c r="N211">
        <v>1</v>
      </c>
      <c r="O211">
        <v>1</v>
      </c>
      <c r="P211">
        <v>1</v>
      </c>
      <c r="R211">
        <v>1</v>
      </c>
      <c r="S211">
        <f t="shared" si="37"/>
        <v>8</v>
      </c>
      <c r="T211">
        <f t="shared" si="38"/>
        <v>3.5714285714285712</v>
      </c>
      <c r="U211">
        <v>1</v>
      </c>
      <c r="V211">
        <v>2</v>
      </c>
      <c r="W211">
        <v>1</v>
      </c>
      <c r="X211">
        <v>3</v>
      </c>
      <c r="Y211">
        <v>5</v>
      </c>
      <c r="Z211">
        <v>5</v>
      </c>
      <c r="AA211">
        <v>2</v>
      </c>
      <c r="AB211">
        <f t="shared" si="39"/>
        <v>19</v>
      </c>
      <c r="AC211">
        <f t="shared" si="40"/>
        <v>42.857142857142854</v>
      </c>
      <c r="AD211">
        <v>2</v>
      </c>
      <c r="AE211">
        <v>2</v>
      </c>
      <c r="AF211">
        <v>2</v>
      </c>
      <c r="AG211">
        <v>2</v>
      </c>
      <c r="AH211">
        <v>2</v>
      </c>
      <c r="AI211">
        <v>1</v>
      </c>
      <c r="AJ211">
        <v>3</v>
      </c>
      <c r="AK211">
        <f t="shared" si="41"/>
        <v>14</v>
      </c>
      <c r="AL211">
        <f t="shared" si="42"/>
        <v>25</v>
      </c>
      <c r="AM211">
        <v>4</v>
      </c>
      <c r="AN211">
        <v>4</v>
      </c>
      <c r="AO211">
        <v>2</v>
      </c>
      <c r="AP211">
        <v>2</v>
      </c>
      <c r="AQ211">
        <v>1</v>
      </c>
      <c r="AR211">
        <v>1</v>
      </c>
      <c r="AS211" s="1">
        <v>5</v>
      </c>
      <c r="AT211" s="1">
        <f t="shared" si="43"/>
        <v>19</v>
      </c>
      <c r="AU211" s="1">
        <f t="shared" si="44"/>
        <v>42.857142857142854</v>
      </c>
    </row>
    <row r="212" spans="1:47">
      <c r="A212" t="s">
        <v>240</v>
      </c>
      <c r="B212">
        <v>3</v>
      </c>
      <c r="C212">
        <v>3</v>
      </c>
      <c r="D212">
        <v>3</v>
      </c>
      <c r="E212">
        <v>4</v>
      </c>
      <c r="F212">
        <v>3</v>
      </c>
      <c r="G212">
        <v>2</v>
      </c>
      <c r="H212">
        <v>2</v>
      </c>
      <c r="I212">
        <v>3</v>
      </c>
      <c r="J212">
        <f t="shared" si="45"/>
        <v>23</v>
      </c>
      <c r="K212">
        <f t="shared" si="36"/>
        <v>46.875</v>
      </c>
      <c r="L212">
        <v>5</v>
      </c>
      <c r="M212">
        <v>4</v>
      </c>
      <c r="N212">
        <v>3</v>
      </c>
      <c r="O212">
        <v>2</v>
      </c>
      <c r="P212">
        <v>2</v>
      </c>
      <c r="R212">
        <v>2</v>
      </c>
      <c r="S212">
        <f t="shared" si="37"/>
        <v>18</v>
      </c>
      <c r="T212">
        <f t="shared" si="38"/>
        <v>39.285714285714285</v>
      </c>
      <c r="U212">
        <v>2</v>
      </c>
      <c r="V212">
        <v>2</v>
      </c>
      <c r="W212">
        <v>3</v>
      </c>
      <c r="X212">
        <v>2</v>
      </c>
      <c r="Y212">
        <v>4</v>
      </c>
      <c r="Z212">
        <v>3</v>
      </c>
      <c r="AA212">
        <v>4</v>
      </c>
      <c r="AB212">
        <f t="shared" si="39"/>
        <v>20</v>
      </c>
      <c r="AC212">
        <f t="shared" si="40"/>
        <v>46.428571428571431</v>
      </c>
      <c r="AD212">
        <v>2</v>
      </c>
      <c r="AE212">
        <v>3</v>
      </c>
      <c r="AF212">
        <v>2</v>
      </c>
      <c r="AG212">
        <v>2</v>
      </c>
      <c r="AH212">
        <v>3</v>
      </c>
      <c r="AI212">
        <v>3</v>
      </c>
      <c r="AJ212">
        <v>3</v>
      </c>
      <c r="AK212">
        <f t="shared" si="41"/>
        <v>18</v>
      </c>
      <c r="AL212">
        <f t="shared" si="42"/>
        <v>39.285714285714285</v>
      </c>
      <c r="AM212">
        <v>2</v>
      </c>
      <c r="AN212">
        <v>4</v>
      </c>
      <c r="AO212">
        <v>2</v>
      </c>
      <c r="AP212">
        <v>3</v>
      </c>
      <c r="AQ212">
        <v>1</v>
      </c>
      <c r="AR212">
        <v>1</v>
      </c>
      <c r="AS212" s="1">
        <v>3</v>
      </c>
      <c r="AT212" s="1">
        <f t="shared" si="43"/>
        <v>16</v>
      </c>
      <c r="AU212" s="1">
        <f t="shared" si="44"/>
        <v>32.142857142857146</v>
      </c>
    </row>
    <row r="213" spans="1:47">
      <c r="A213" t="s">
        <v>241</v>
      </c>
      <c r="B213">
        <v>1</v>
      </c>
      <c r="C213">
        <v>1</v>
      </c>
      <c r="D213">
        <v>3</v>
      </c>
      <c r="E213">
        <v>4</v>
      </c>
      <c r="F213">
        <v>1</v>
      </c>
      <c r="G213">
        <v>1</v>
      </c>
      <c r="H213">
        <v>3</v>
      </c>
      <c r="I213">
        <v>2</v>
      </c>
      <c r="J213">
        <f t="shared" si="45"/>
        <v>16</v>
      </c>
      <c r="K213">
        <f t="shared" si="36"/>
        <v>25</v>
      </c>
      <c r="L213">
        <v>3</v>
      </c>
      <c r="M213">
        <v>1</v>
      </c>
      <c r="N213">
        <v>2</v>
      </c>
      <c r="O213">
        <v>2</v>
      </c>
      <c r="P213">
        <v>1</v>
      </c>
      <c r="Q213">
        <v>2</v>
      </c>
      <c r="S213">
        <f t="shared" si="37"/>
        <v>11</v>
      </c>
      <c r="T213">
        <f t="shared" si="38"/>
        <v>14.285714285714285</v>
      </c>
      <c r="U213">
        <v>1</v>
      </c>
      <c r="V213">
        <v>1</v>
      </c>
      <c r="W213">
        <v>1</v>
      </c>
      <c r="X213">
        <v>1</v>
      </c>
      <c r="Y213">
        <v>3</v>
      </c>
      <c r="Z213">
        <v>5</v>
      </c>
      <c r="AA213">
        <v>3</v>
      </c>
      <c r="AB213">
        <f t="shared" si="39"/>
        <v>15</v>
      </c>
      <c r="AC213">
        <f t="shared" si="40"/>
        <v>28.571428571428569</v>
      </c>
      <c r="AD213">
        <v>1</v>
      </c>
      <c r="AE213">
        <v>3</v>
      </c>
      <c r="AF213">
        <v>5</v>
      </c>
      <c r="AG213">
        <v>3</v>
      </c>
      <c r="AH213">
        <v>3</v>
      </c>
      <c r="AI213">
        <v>1</v>
      </c>
      <c r="AJ213">
        <v>1</v>
      </c>
      <c r="AK213">
        <f t="shared" si="41"/>
        <v>17</v>
      </c>
      <c r="AL213">
        <f t="shared" si="42"/>
        <v>35.714285714285715</v>
      </c>
      <c r="AM213">
        <v>2</v>
      </c>
      <c r="AN213">
        <v>4</v>
      </c>
      <c r="AO213">
        <v>1</v>
      </c>
      <c r="AP213">
        <v>4</v>
      </c>
      <c r="AQ213">
        <v>1</v>
      </c>
      <c r="AR213">
        <v>1</v>
      </c>
      <c r="AS213" s="1">
        <v>2</v>
      </c>
      <c r="AT213" s="1">
        <f t="shared" si="43"/>
        <v>15</v>
      </c>
      <c r="AU213" s="1">
        <f t="shared" si="44"/>
        <v>28.571428571428569</v>
      </c>
    </row>
    <row r="214" spans="1:47">
      <c r="A214" t="s">
        <v>242</v>
      </c>
      <c r="B214">
        <v>1</v>
      </c>
      <c r="C214">
        <v>1</v>
      </c>
      <c r="D214">
        <v>5</v>
      </c>
      <c r="E214">
        <v>1</v>
      </c>
      <c r="F214">
        <v>1</v>
      </c>
      <c r="G214">
        <v>1</v>
      </c>
      <c r="H214">
        <v>1</v>
      </c>
      <c r="I214">
        <v>1</v>
      </c>
      <c r="J214">
        <f t="shared" si="45"/>
        <v>12</v>
      </c>
      <c r="K214">
        <f t="shared" si="36"/>
        <v>12.5</v>
      </c>
      <c r="L214">
        <v>1</v>
      </c>
      <c r="M214">
        <v>1</v>
      </c>
      <c r="N214">
        <v>1</v>
      </c>
      <c r="O214">
        <v>2</v>
      </c>
      <c r="P214">
        <v>1</v>
      </c>
      <c r="R214">
        <v>1</v>
      </c>
      <c r="S214">
        <f t="shared" si="37"/>
        <v>7</v>
      </c>
      <c r="T214">
        <f t="shared" si="38"/>
        <v>0</v>
      </c>
      <c r="U214">
        <v>1</v>
      </c>
      <c r="V214">
        <v>1</v>
      </c>
      <c r="W214">
        <v>1</v>
      </c>
      <c r="X214">
        <v>1</v>
      </c>
      <c r="Y214">
        <v>3</v>
      </c>
      <c r="Z214">
        <v>5</v>
      </c>
      <c r="AA214">
        <v>2</v>
      </c>
      <c r="AB214">
        <f t="shared" si="39"/>
        <v>14</v>
      </c>
      <c r="AC214">
        <f t="shared" si="40"/>
        <v>25</v>
      </c>
      <c r="AD214">
        <v>1</v>
      </c>
      <c r="AE214">
        <v>2</v>
      </c>
      <c r="AF214">
        <v>2</v>
      </c>
      <c r="AG214">
        <v>1</v>
      </c>
      <c r="AH214">
        <v>1</v>
      </c>
      <c r="AI214">
        <v>1</v>
      </c>
      <c r="AJ214">
        <v>1</v>
      </c>
      <c r="AK214">
        <f t="shared" si="41"/>
        <v>9</v>
      </c>
      <c r="AL214">
        <f t="shared" si="42"/>
        <v>7.1428571428571423</v>
      </c>
      <c r="AM214">
        <v>5</v>
      </c>
      <c r="AN214">
        <v>5</v>
      </c>
      <c r="AO214">
        <v>1</v>
      </c>
      <c r="AP214">
        <v>5</v>
      </c>
      <c r="AQ214">
        <v>1</v>
      </c>
      <c r="AR214">
        <v>1</v>
      </c>
      <c r="AS214" s="1">
        <v>5</v>
      </c>
      <c r="AT214" s="1">
        <f t="shared" si="43"/>
        <v>23</v>
      </c>
      <c r="AU214" s="1">
        <f t="shared" si="44"/>
        <v>57.142857142857139</v>
      </c>
    </row>
    <row r="216" spans="1:47">
      <c r="A216" s="45"/>
    </row>
    <row r="217" spans="1:47">
      <c r="A217" s="45"/>
    </row>
  </sheetData>
  <mergeCells count="38">
    <mergeCell ref="AT111:AT112"/>
    <mergeCell ref="AU111:AU112"/>
    <mergeCell ref="AM111:AS111"/>
    <mergeCell ref="AM3:AM4"/>
    <mergeCell ref="AN3:AN4"/>
    <mergeCell ref="B1:AN2"/>
    <mergeCell ref="J111:J112"/>
    <mergeCell ref="K111:K112"/>
    <mergeCell ref="S111:S112"/>
    <mergeCell ref="T111:T112"/>
    <mergeCell ref="U111:AA111"/>
    <mergeCell ref="AB111:AB112"/>
    <mergeCell ref="AC111:AC112"/>
    <mergeCell ref="J3:J4"/>
    <mergeCell ref="K3:K4"/>
    <mergeCell ref="T3:T4"/>
    <mergeCell ref="U3:U4"/>
    <mergeCell ref="AC3:AC4"/>
    <mergeCell ref="AD3:AD4"/>
    <mergeCell ref="AE3:AL3"/>
    <mergeCell ref="AO3:AO4"/>
    <mergeCell ref="A1:A4"/>
    <mergeCell ref="B111:I111"/>
    <mergeCell ref="L111:R111"/>
    <mergeCell ref="B107:I107"/>
    <mergeCell ref="AD111:AJ111"/>
    <mergeCell ref="AK111:AK112"/>
    <mergeCell ref="AL111:AL112"/>
    <mergeCell ref="AT3:AT4"/>
    <mergeCell ref="AU3:AU4"/>
    <mergeCell ref="A216:A217"/>
    <mergeCell ref="AS3:AS4"/>
    <mergeCell ref="A111:A112"/>
    <mergeCell ref="B3:I3"/>
    <mergeCell ref="L3:S3"/>
    <mergeCell ref="AQ3:AQ4"/>
    <mergeCell ref="AR3:AR4"/>
    <mergeCell ref="V3:AB3"/>
  </mergeCells>
  <phoneticPr fontId="1" type="noConversion"/>
  <pageMargins left="0.75" right="0.75" top="1" bottom="1" header="0.51" footer="0.51"/>
  <pageSetup paperSize="9" fitToWidth="0" fitToHeight="0" orientation="portrait" errors="NA" horizontalDpi="96" verticalDpi="96" r:id="rId1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Pages>0</Pages>
  <Words>0</Words>
  <Characters>0</Characters>
  <Application>Microsoft Excel</Application>
  <DocSecurity>0</DocSecurity>
  <PresentationFormat/>
  <Lines>0</Lines>
  <Paragraphs>0</Paragraphs>
  <Slides>0</Slides>
  <Notes>0</Notes>
  <HiddenSlides>0</HiddenSlides>
  <MMClips>0</MMClips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Depression</vt:lpstr>
      <vt:lpstr>PSQI</vt:lpstr>
      <vt:lpstr>TCM-Constitution</vt:lpstr>
    </vt:vector>
  </TitlesOfParts>
  <Manager/>
  <Company/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asus</dc:creator>
  <cp:keywords/>
  <dc:description/>
  <cp:lastModifiedBy>林建和</cp:lastModifiedBy>
  <cp:revision>1</cp:revision>
  <dcterms:created xsi:type="dcterms:W3CDTF">2025-05-09T10:06:23Z</dcterms:created>
  <dcterms:modified xsi:type="dcterms:W3CDTF">2026-05-15T23:56:47Z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1028-10.8.0.6003</vt:lpwstr>
  </property>
</Properties>
</file>